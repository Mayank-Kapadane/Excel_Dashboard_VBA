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D:\Code_Playground\7_Excel\1_Excel\3_Excel_DashBord\with Learn more\sales_dashboard\"/>
    </mc:Choice>
  </mc:AlternateContent>
  <xr:revisionPtr revIDLastSave="0" documentId="13_ncr:1_{01FB710A-E374-4791-BEB3-1EB61C991962}" xr6:coauthVersionLast="47" xr6:coauthVersionMax="47" xr10:uidLastSave="{00000000-0000-0000-0000-000000000000}"/>
  <bookViews>
    <workbookView xWindow="-108" yWindow="-108" windowWidth="23256" windowHeight="12456" tabRatio="469" xr2:uid="{00000000-000D-0000-FFFF-FFFF0000000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1" l="1"/>
  <c r="K2" i="1" s="1"/>
  <c r="L2" i="1" s="1"/>
  <c r="I3" i="1"/>
  <c r="K3" i="1" s="1"/>
  <c r="L3" i="1" s="1"/>
  <c r="I142" i="1"/>
  <c r="K142" i="1" s="1"/>
  <c r="L142" i="1" s="1"/>
  <c r="I141" i="1"/>
  <c r="K141" i="1" s="1"/>
  <c r="L141" i="1" s="1"/>
  <c r="K140" i="1"/>
  <c r="L140" i="1" s="1"/>
  <c r="I140" i="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K128" i="1"/>
  <c r="L128" i="1" s="1"/>
  <c r="I128" i="1"/>
  <c r="I127" i="1"/>
  <c r="K127" i="1" s="1"/>
  <c r="L127" i="1" s="1"/>
  <c r="I126" i="1"/>
  <c r="K126" i="1" s="1"/>
  <c r="L126" i="1" s="1"/>
  <c r="I125" i="1"/>
  <c r="K125" i="1" s="1"/>
  <c r="L125" i="1" s="1"/>
  <c r="I124" i="1"/>
  <c r="K124" i="1" s="1"/>
  <c r="L124" i="1" s="1"/>
  <c r="I123" i="1"/>
  <c r="K123" i="1" s="1"/>
  <c r="L123" i="1" s="1"/>
  <c r="I122" i="1"/>
  <c r="K122" i="1" s="1"/>
  <c r="L122" i="1" s="1"/>
  <c r="I121" i="1"/>
  <c r="K121" i="1" s="1"/>
  <c r="L121" i="1" s="1"/>
  <c r="K120" i="1"/>
  <c r="L120" i="1" s="1"/>
  <c r="I120" i="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K108" i="1"/>
  <c r="L108" i="1" s="1"/>
  <c r="I108" i="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K92" i="1"/>
  <c r="L92" i="1" s="1"/>
  <c r="I92" i="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K76" i="1"/>
  <c r="L76" i="1" s="1"/>
  <c r="I76" i="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K44" i="1"/>
  <c r="L44" i="1" s="1"/>
  <c r="I44" i="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K28" i="1"/>
  <c r="L28" i="1" s="1"/>
  <c r="I28" i="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K12" i="1"/>
  <c r="L12" i="1" s="1"/>
  <c r="I12" i="1"/>
  <c r="I11" i="1"/>
  <c r="K11" i="1" s="1"/>
  <c r="L11" i="1" s="1"/>
  <c r="I10" i="1"/>
  <c r="K10" i="1" s="1"/>
  <c r="L10" i="1" s="1"/>
  <c r="I9" i="1"/>
  <c r="K9" i="1" s="1"/>
  <c r="L9" i="1" s="1"/>
  <c r="I8" i="1"/>
  <c r="K8" i="1" s="1"/>
  <c r="L8" i="1" s="1"/>
  <c r="I7" i="1"/>
  <c r="K7" i="1" s="1"/>
  <c r="L7" i="1" s="1"/>
  <c r="I6" i="1"/>
  <c r="K6" i="1" s="1"/>
  <c r="L6" i="1" s="1"/>
  <c r="I5" i="1"/>
  <c r="K5" i="1" s="1"/>
  <c r="L5" i="1" s="1"/>
  <c r="I4" i="1"/>
  <c r="K4" i="1" s="1"/>
  <c r="L4" i="1" s="1"/>
</calcChain>
</file>

<file path=xl/sharedStrings.xml><?xml version="1.0" encoding="utf-8"?>
<sst xmlns="http://schemas.openxmlformats.org/spreadsheetml/2006/main" count="482" uniqueCount="322">
  <si>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</si>
  <si>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</si>
  <si>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</si>
  <si>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</si>
  <si>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</si>
  <si>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</si>
  <si>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</si>
  <si>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</si>
  <si>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</si>
  <si>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</si>
  <si>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</si>
  <si>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</si>
  <si>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</si>
  <si>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</si>
  <si>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</si>
  <si>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</si>
  <si>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</si>
  <si>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</si>
  <si>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</si>
  <si>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</si>
  <si>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</si>
  <si>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</si>
  <si>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</si>
  <si>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</si>
  <si>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</si>
  <si>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</si>
  <si>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</si>
  <si>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</si>
  <si>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</si>
  <si>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</si>
  <si>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</si>
  <si>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</si>
  <si>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</si>
  <si>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</si>
  <si>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</si>
  <si>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</si>
  <si>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</si>
  <si>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</si>
  <si>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</si>
  <si>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</si>
  <si>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</si>
  <si>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</si>
  <si>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</si>
  <si>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</si>
  <si>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</si>
  <si>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</si>
  <si>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</si>
  <si>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</si>
  <si>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</si>
  <si>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</si>
  <si>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</si>
  <si>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</si>
  <si>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</si>
  <si>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</si>
  <si>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</si>
  <si>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</si>
  <si>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</si>
  <si>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</si>
  <si>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</si>
  <si>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</si>
  <si>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</si>
  <si>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</si>
  <si>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</si>
  <si>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</si>
  <si>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</si>
  <si>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</si>
  <si>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</si>
  <si>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</si>
  <si>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</si>
  <si>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</si>
  <si>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</si>
  <si>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</si>
  <si>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</si>
  <si>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</si>
  <si>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</si>
  <si>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</si>
  <si>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</si>
  <si>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</si>
  <si>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</si>
  <si>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</si>
  <si>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</si>
  <si>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</si>
  <si>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</si>
  <si>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</si>
  <si>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</si>
  <si>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</si>
  <si>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</si>
  <si>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</si>
  <si>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</si>
  <si>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</si>
  <si>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</si>
  <si>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</si>
  <si>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</si>
  <si>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</si>
  <si>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</si>
  <si>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</si>
  <si>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</si>
  <si>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</si>
  <si>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</si>
  <si>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</si>
  <si>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</si>
  <si>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</si>
  <si>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</si>
  <si>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</si>
  <si>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</si>
  <si>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</si>
  <si>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</si>
  <si>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</si>
  <si>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</si>
  <si>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</si>
  <si>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</si>
  <si>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</si>
  <si>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</si>
  <si>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</si>
  <si>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</si>
  <si>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</si>
  <si>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</si>
  <si>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</si>
  <si>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</si>
  <si>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</si>
  <si>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</si>
  <si>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</si>
  <si>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</si>
  <si>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</si>
  <si>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</si>
  <si>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</si>
  <si>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</si>
  <si>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</si>
  <si>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</si>
  <si>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</si>
  <si>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</si>
  <si>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</si>
  <si>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</si>
  <si>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</si>
  <si>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</si>
  <si>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</si>
  <si>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</si>
  <si>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</si>
  <si>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</si>
  <si>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</si>
  <si>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</si>
  <si>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</si>
  <si>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</si>
  <si>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</si>
  <si>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</si>
  <si>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</si>
  <si>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</si>
  <si>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</si>
  <si>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</si>
  <si>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</si>
  <si>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</si>
  <si>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</si>
  <si>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</si>
  <si>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</si>
  <si>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</si>
  <si>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</si>
  <si>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</si>
  <si>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</si>
  <si>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</si>
  <si>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</si>
  <si>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</si>
  <si>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</si>
  <si>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</si>
  <si>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</si>
  <si>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</si>
  <si>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</si>
  <si>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</si>
  <si>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</si>
  <si>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</si>
  <si>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</si>
  <si>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</si>
  <si>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</si>
  <si>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</si>
  <si>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</si>
  <si>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</si>
  <si>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</si>
  <si>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</si>
  <si>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</si>
  <si>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</si>
  <si>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</si>
  <si>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</si>
  <si>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</si>
  <si>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</si>
  <si>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</si>
  <si>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</si>
  <si>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</si>
  <si>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</si>
  <si>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</si>
  <si>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</si>
  <si>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</si>
  <si>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</si>
  <si>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</si>
  <si>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</si>
  <si>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</si>
  <si>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</si>
  <si>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</si>
  <si>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</si>
  <si>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</si>
  <si>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</si>
  <si>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</si>
  <si>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</si>
  <si>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</si>
  <si>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</si>
  <si>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</si>
  <si>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</si>
  <si>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</si>
  <si>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</si>
  <si>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</si>
  <si>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</si>
  <si>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</si>
  <si>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</si>
  <si>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</si>
  <si>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</si>
  <si>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</si>
  <si>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</si>
  <si>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</si>
  <si>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</si>
  <si>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</si>
  <si>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</si>
  <si>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</si>
  <si>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</si>
  <si>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</si>
  <si>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</si>
  <si>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</si>
  <si>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</si>
  <si>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</si>
  <si>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</si>
  <si>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</si>
  <si>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</si>
  <si>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</si>
  <si>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</si>
  <si>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</si>
  <si>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</si>
  <si>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</si>
  <si>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</si>
  <si>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</si>
  <si>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</si>
  <si>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</si>
  <si>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</si>
  <si>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</si>
  <si>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</si>
  <si>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</si>
  <si>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</si>
  <si>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</si>
  <si>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</si>
  <si>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</si>
  <si>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</si>
  <si>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</si>
  <si>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</si>
  <si>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</si>
  <si>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</si>
  <si>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</si>
  <si>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</si>
  <si>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</si>
  <si>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</si>
  <si>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</si>
  <si>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</si>
  <si>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</si>
  <si>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</si>
  <si>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</si>
  <si>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</si>
  <si>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</si>
  <si>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</si>
  <si>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</si>
  <si>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</si>
  <si>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</si>
  <si>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</si>
  <si>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</si>
  <si>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</si>
  <si>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</si>
  <si>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</si>
  <si>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</si>
  <si>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</si>
  <si>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</si>
  <si>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</si>
  <si>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</si>
  <si>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</si>
  <si>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</si>
  <si>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</si>
  <si>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</si>
  <si>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</si>
  <si>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</si>
  <si>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</si>
  <si>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</si>
  <si>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</si>
  <si>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</si>
  <si>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</si>
  <si>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</si>
  <si>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</si>
  <si>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</si>
  <si>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</si>
  <si>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</si>
  <si>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</si>
  <si>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</si>
  <si>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</si>
  <si>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</si>
  <si>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</si>
  <si>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</si>
  <si>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</si>
  <si>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</si>
  <si>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</si>
  <si>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</si>
  <si>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Understanding of data </t>
  </si>
  <si>
    <t xml:space="preserve">Building logic as per result </t>
  </si>
  <si>
    <t>applying formula</t>
  </si>
  <si>
    <t>creating reports</t>
  </si>
  <si>
    <t>Excel M.I.S report 4 steps</t>
  </si>
  <si>
    <t>Grand Total</t>
  </si>
  <si>
    <t>Row Labels</t>
  </si>
  <si>
    <t xml:space="preserve">Total Sales </t>
  </si>
  <si>
    <t>in pivot  table columns are known as fields</t>
  </si>
  <si>
    <t>p.t. auto adjust column width as per data do you want to stop it then rightclickon p.t. -&gt; p.t. options -&gt;  layout  &amp; format -&gt; uncheck the auto fit clomun width option (Now you can manuallly change the size)</t>
  </si>
  <si>
    <t xml:space="preserve">copy full data/p.t. in same sheet-&gt; select data -&gt; ctrl + drag </t>
  </si>
  <si>
    <t>for change the format of value click on filed -&gt; value filed setting -&gt; number format -&gt; (choose the format)</t>
  </si>
  <si>
    <t>Target Hit % wise</t>
  </si>
  <si>
    <t>away from Target % wise</t>
  </si>
  <si>
    <t>add pivot chart, remove uneccessary things from chart, right click on button and hide all field button on chart, add data labels</t>
  </si>
  <si>
    <t>insert slicer :  click on pivot table -&gt; click on p.t. analyze from tab-&gt; inseret slicer -&gt; right click on it for slicer settings(You can remove header)</t>
  </si>
  <si>
    <t>You can create your own style and save it</t>
  </si>
  <si>
    <t>connect the all pivot table with the slicer</t>
  </si>
  <si>
    <t>insert shape from insert tab , From Developer tab insert  the checkbox rename it</t>
  </si>
  <si>
    <t>Link the check box wih the cell by right click on it and Format  control , Do not hide row who had TRUE OR 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</si>
</sst>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sz val="11"/>
      <color theme="4"/>
      <name val="Calibri"/>
      <family val="2"/>
      <scheme val="minor"/>
    </font>
    <font>
      <sz val="8"/>
      <color rgb="FF000000"/>
      <name val="Segoe UI"/>
      <family val="2"/>
    </font>
  </fonts>
  <fills count="9">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9" fontId="0" fillId="0" borderId="0" xfId="0" pivotButton="1" applyNumberFormat="1"/>
    <xf numFmtId="9" fontId="0" fillId="0" borderId="0" xfId="0" applyNumberFormat="1"/>
    <xf numFmtId="9" fontId="0" fillId="0" borderId="0" xfId="0" applyNumberFormat="1" applyAlignment="1">
      <alignment horizontal="left"/>
    </xf>
    <xf numFmtId="0" fontId="0" fillId="7" borderId="0" xfId="0" applyFill="1"/>
    <xf numFmtId="0" fontId="0" fillId="8" borderId="0" xfId="0" applyFill="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0" borderId="0" xfId="0" applyAlignment="1">
      <alignment horizontal="center"/>
    </xf>
    <xf numFmtId="0" fontId="2" fillId="2" borderId="1" xfId="0" applyFont="1" applyFill="1" applyBorder="1" applyAlignment="1">
      <alignment horizontal="center" vertical="center"/>
    </xf>
    <xf numFmtId="0" fontId="5" fillId="4" borderId="1" xfId="0" applyFont="1" applyFill="1" applyBorder="1" applyAlignment="1">
      <alignment horizontal="center"/>
    </xf>
    <xf numFmtId="0" fontId="0" fillId="5" borderId="0" xfId="0" applyFill="1" applyAlignment="1">
      <alignment horizontal="center" wrapText="1"/>
    </xf>
    <xf numFmtId="0" fontId="0" fillId="6" borderId="0" xfId="0" applyFill="1" applyAlignment="1">
      <alignment horizontal="center"/>
    </xf>
    <xf numFmtId="0" fontId="0" fillId="6" borderId="0" xfId="0" applyFill="1" applyAlignment="1">
      <alignment horizontal="center" wrapText="1"/>
    </xf>
    <xf numFmtId="0" fontId="0" fillId="0" borderId="0" xfId="0" applyNumberFormat="1"/>
  </cellXfs>
  <cellStyles count="2">
    <cellStyle name="Normal" xfId="0" builtinId="0"/>
    <cellStyle name="Percent" xfId="1" builtinId="5"/>
  </cellStyles>
  <dxfs count="29">
    <dxf>
      <alignment horizontal="general" vertical="bottom" textRotation="0" wrapText="0"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alignment horizontal="general" vertical="bottom" textRotation="0" wrapText="0"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alignment horizontal="general" vertical="bottom" textRotation="0" wrapText="0"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alignment horizontal="general" vertical="bottom" textRotation="0" wrapText="0" indent="0" justifyLastLine="0" shrinkToFit="0" readingOrder="0"/>
    </dxf>
    <dxf>
      <fill>
        <patternFill>
          <bgColor theme="1"/>
        </patternFill>
      </fill>
    </dxf>
  </dxfs>
  <tableStyles count="1" defaultTableStyle="TableStyleMedium2" defaultPivotStyle="PivotStyleLight16">
    <tableStyle name="Slicer Style 1" pivot="0" table="0" count="5" xr9:uid="{9DC2C3BC-E81E-4AAB-8A3E-17BBD6CDCC25}">
      <tableStyleElement type="wholeTable" dxfId="28"/>
    </tableStyle>
  </tableStyles>
  <extLst>
    <ext xmlns:x14="http://schemas.microsoft.com/office/spreadsheetml/2009/9/main" uri="{46F421CA-312F-682f-3DD2-61675219B42D}">
      <x14:dxfs count="4">
        <dxf>
          <fill>
            <patternFill>
              <bgColor theme="8" tint="-0.24994659260841701"/>
            </patternFill>
          </fill>
        </dxf>
        <dxf>
          <fill>
            <patternFill>
              <bgColor theme="0" tint="-4.9989318521683403E-2"/>
            </patternFill>
          </fill>
        </dxf>
        <dxf>
          <fill>
            <patternFill>
              <bgColor theme="8" tint="0.39994506668294322"/>
            </patternFill>
          </fill>
        </dxf>
        <dxf>
          <fill>
            <patternFill>
              <bgColor theme="8"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DashBoard!$A$4:$A$9</c:f>
              <c:strCache>
                <c:ptCount val="5"/>
                <c:pt idx="0">
                  <c:v>Anita Dixit</c:v>
                </c:pt>
                <c:pt idx="1">
                  <c:v>Daleep Singh</c:v>
                </c:pt>
                <c:pt idx="2">
                  <c:v>Jagdish Chandra</c:v>
                </c:pt>
                <c:pt idx="3">
                  <c:v>Nandu Kumar</c:v>
                </c:pt>
                <c:pt idx="4">
                  <c:v>Rachita Anupam</c:v>
                </c:pt>
              </c:strCache>
            </c:strRef>
          </c:cat>
          <c:val>
            <c:numRef>
              <c:f>DashBoard!$B$4:$B$9</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20E8-4DA7-BB87-0149DB167EB7}"/>
            </c:ext>
          </c:extLst>
        </c:ser>
        <c:dLbls>
          <c:showLegendKey val="0"/>
          <c:showVal val="0"/>
          <c:showCatName val="0"/>
          <c:showSerName val="0"/>
          <c:showPercent val="0"/>
          <c:showBubbleSize val="0"/>
        </c:dLbls>
        <c:gapWidth val="115"/>
        <c:overlap val="-20"/>
        <c:axId val="1421577072"/>
        <c:axId val="1421578992"/>
      </c:barChart>
      <c:catAx>
        <c:axId val="142157707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1578992"/>
        <c:crosses val="autoZero"/>
        <c:auto val="1"/>
        <c:lblAlgn val="ctr"/>
        <c:lblOffset val="100"/>
        <c:noMultiLvlLbl val="0"/>
      </c:catAx>
      <c:valAx>
        <c:axId val="1421578992"/>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421577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[dashboard2.xlsm]DashBoard!PivotTable2</c:name>
    <c:fmtId val="1"/>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6398536282549744"/>
              <c:y val="-5.631743948673082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1457659467877719"/>
              <c:y val="0.1798775153105861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DashBoard!$E$3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74D1-47E8-8A60-488EF4843F6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4D1-47E8-8A60-488EF4843F6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74D1-47E8-8A60-488EF4843F6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4D1-47E8-8A60-488EF4843F6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74D1-47E8-8A60-488EF4843F64}"/>
              </c:ext>
            </c:extLst>
          </c:dPt>
          <c:cat>
            <c:strRef>
              <c:f>DashBoard!$D$4:$D$9</c:f>
              <c:strCache>
                <c:ptCount val="5"/>
                <c:pt idx="0">
                  <c:v>Arun Kumar</c:v>
                </c:pt>
                <c:pt idx="1">
                  <c:v>Owais Mohd</c:v>
                </c:pt>
                <c:pt idx="2">
                  <c:v>Rajesh Kumar</c:v>
                </c:pt>
                <c:pt idx="3">
                  <c:v>Sheena Joseph</c:v>
                </c:pt>
                <c:pt idx="4">
                  <c:v>Sudhir Kumar</c:v>
                </c:pt>
              </c:strCache>
            </c:strRef>
          </c:cat>
          <c:val>
            <c:numRef>
              <c:f>DashBoard!$E$4:$E$9</c:f>
              <c:numCache>
                <c:formatCode>0%</c:formatCode>
                <c:ptCount val="5"/>
                <c:pt idx="0">
                  <c:v>183</c:v>
                </c:pt>
                <c:pt idx="1">
                  <c:v>208</c:v>
                </c:pt>
                <c:pt idx="2">
                  <c:v>192</c:v>
                </c:pt>
                <c:pt idx="3">
                  <c:v>183</c:v>
                </c:pt>
                <c:pt idx="4">
                  <c:v>199</c:v>
                </c:pt>
              </c:numCache>
            </c:numRef>
          </c:val>
          <c:extLst>
            <c:ext xmlns:c16="http://schemas.microsoft.com/office/drawing/2014/chart" uri="{C3380CC4-5D6E-409C-BE32-E72D297353CC}">
              <c16:uniqueId val="{00000000-74D1-47E8-8A60-488EF4843F6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[dashboard2.xlsm]DashBoard!PivotTable3</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DashBoard!$H$3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DashBoard!$G$4:$G$9</c:f>
              <c:strCache>
                <c:ptCount val="5"/>
                <c:pt idx="0">
                  <c:v>Anikuttan</c:v>
                </c:pt>
                <c:pt idx="1">
                  <c:v>Arvind Sharma</c:v>
                </c:pt>
                <c:pt idx="2">
                  <c:v>Jagdish Chandra</c:v>
                </c:pt>
                <c:pt idx="3">
                  <c:v>Miny Mole</c:v>
                </c:pt>
                <c:pt idx="4">
                  <c:v>Rachita Anupam</c:v>
                </c:pt>
              </c:strCache>
            </c:strRef>
          </c:cat>
          <c:val>
            <c:numRef>
              <c:f>DashBoard!$H$4:$H$9</c:f>
              <c:numCache>
                <c:formatCode>0.00%</c:formatCode>
                <c:ptCount val="5"/>
                <c:pt idx="0">
                  <c:v>0.76400000000000001</c:v>
                </c:pt>
                <c:pt idx="1">
                  <c:v>0.75800000000000001</c:v>
                </c:pt>
                <c:pt idx="2">
                  <c:v>0.77800000000000002</c:v>
                </c:pt>
                <c:pt idx="3">
                  <c:v>0.76800000000000002</c:v>
                </c:pt>
                <c:pt idx="4">
                  <c:v>0.77</c:v>
                </c:pt>
              </c:numCache>
            </c:numRef>
          </c:val>
          <c:smooth val="0"/>
          <c:extLst>
            <c:ext xmlns:c16="http://schemas.microsoft.com/office/drawing/2014/chart" uri="{C3380CC4-5D6E-409C-BE32-E72D297353CC}">
              <c16:uniqueId val="{00000000-C033-4521-8A62-913D918D7557}"/>
            </c:ext>
          </c:extLst>
        </c:ser>
        <c:dLbls>
          <c:showLegendKey val="0"/>
          <c:showVal val="0"/>
          <c:showCatName val="0"/>
          <c:showSerName val="0"/>
          <c:showPercent val="0"/>
          <c:showBubbleSize val="0"/>
        </c:dLbls>
        <c:marker val="1"/>
        <c:smooth val="0"/>
        <c:axId val="1421578032"/>
        <c:axId val="1421579472"/>
      </c:lineChart>
      <c:catAx>
        <c:axId val="142157803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1579472"/>
        <c:crosses val="autoZero"/>
        <c:auto val="1"/>
        <c:lblAlgn val="ctr"/>
        <c:lblOffset val="100"/>
        <c:noMultiLvlLbl val="0"/>
      </c:catAx>
      <c:valAx>
        <c:axId val="1421579472"/>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1421578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53009</xdr:colOff>
      <xdr:row>0</xdr:row>
      <xdr:rowOff>99392</xdr:rowOff>
    </xdr:from>
    <xdr:to>
      <xdr:col>10</xdr:col>
      <xdr:colOff>2303629</xdr:colOff>
      <xdr:row>1</xdr:row>
      <xdr:rowOff>212035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6F1B0CFF-8C9C-AF31-CCAA-7D292785433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009" y="99392"/>
              <a:ext cx="12196377" cy="4704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10</xdr:row>
      <xdr:rowOff>0</xdr:rowOff>
    </xdr:from>
    <xdr:to>
      <xdr:col>4</xdr:col>
      <xdr:colOff>1043940</xdr:colOff>
      <xdr:row>23</xdr:row>
      <xdr:rowOff>30480</xdr:rowOff>
    </xdr:to>
    <xdr:graphicFrame macro="">
      <xdr:nvGraphicFramePr>
        <xdr:cNvPr id="2" name="Chart 1">
          <a:extLst>
            <a:ext uri="{FF2B5EF4-FFF2-40B4-BE49-F238E27FC236}">
              <a16:creationId xmlns:a16="http://schemas.microsoft.com/office/drawing/2014/main" id="{3E4CAA6E-C898-47B5-7F28-EF6710B060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1656</xdr:colOff>
      <xdr:row>9</xdr:row>
      <xdr:rowOff>152400</xdr:rowOff>
    </xdr:from>
    <xdr:to>
      <xdr:col>7</xdr:col>
      <xdr:colOff>944880</xdr:colOff>
      <xdr:row>23</xdr:row>
      <xdr:rowOff>38100</xdr:rowOff>
    </xdr:to>
    <xdr:graphicFrame macro="">
      <xdr:nvGraphicFramePr>
        <xdr:cNvPr id="4" name="Chart 3">
          <a:extLst>
            <a:ext uri="{FF2B5EF4-FFF2-40B4-BE49-F238E27FC236}">
              <a16:creationId xmlns:a16="http://schemas.microsoft.com/office/drawing/2014/main" id="{ADFCF9E7-661A-F8DF-13DB-29B7032454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114300</xdr:colOff>
      <xdr:row>9</xdr:row>
      <xdr:rowOff>137160</xdr:rowOff>
    </xdr:from>
    <xdr:to>
      <xdr:col>11</xdr:col>
      <xdr:colOff>45720</xdr:colOff>
      <xdr:row>23</xdr:row>
      <xdr:rowOff>45720</xdr:rowOff>
    </xdr:to>
    <xdr:graphicFrame macro="">
      <xdr:nvGraphicFramePr>
        <xdr:cNvPr id="5" name="Chart 4">
          <a:extLst>
            <a:ext uri="{FF2B5EF4-FFF2-40B4-BE49-F238E27FC236}">
              <a16:creationId xmlns:a16="http://schemas.microsoft.com/office/drawing/2014/main" id="{43266A4D-07C2-FA14-30E5-452AAA3347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152400</xdr:colOff>
      <xdr:row>1</xdr:row>
      <xdr:rowOff>238539</xdr:rowOff>
    </xdr:from>
    <xdr:to>
      <xdr:col>3</xdr:col>
      <xdr:colOff>1086680</xdr:colOff>
      <xdr:row>1</xdr:row>
      <xdr:rowOff>530086</xdr:rowOff>
    </xdr:to>
    <xdr:sp macro="" textlink="">
      <xdr:nvSpPr>
        <xdr:cNvPr id="12" name="Speech Bubble: Rectangle 11">
          <a:extLst>
            <a:ext uri="{FF2B5EF4-FFF2-40B4-BE49-F238E27FC236}">
              <a16:creationId xmlns:a16="http://schemas.microsoft.com/office/drawing/2014/main" id="{E7FA62B4-B35D-5528-3A3B-38ED17A65137}"/>
            </a:ext>
          </a:extLst>
        </xdr:cNvPr>
        <xdr:cNvSpPr/>
      </xdr:nvSpPr>
      <xdr:spPr>
        <a:xfrm>
          <a:off x="2849217" y="596348"/>
          <a:ext cx="934280" cy="291547"/>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160020</xdr:colOff>
          <xdr:row>1</xdr:row>
          <xdr:rowOff>190500</xdr:rowOff>
        </xdr:from>
        <xdr:to>
          <xdr:col>4</xdr:col>
          <xdr:colOff>167640</xdr:colOff>
          <xdr:row>1</xdr:row>
          <xdr:rowOff>541020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0</xdr:col>
      <xdr:colOff>145773</xdr:colOff>
      <xdr:row>1</xdr:row>
      <xdr:rowOff>278295</xdr:rowOff>
    </xdr:from>
    <xdr:to>
      <xdr:col>0</xdr:col>
      <xdr:colOff>1080053</xdr:colOff>
      <xdr:row>1</xdr:row>
      <xdr:rowOff>569842</xdr:rowOff>
    </xdr:to>
    <xdr:sp macro="" textlink="">
      <xdr:nvSpPr>
        <xdr:cNvPr id="14" name="Speech Bubble: Rectangle 13">
          <a:extLst>
            <a:ext uri="{FF2B5EF4-FFF2-40B4-BE49-F238E27FC236}">
              <a16:creationId xmlns:a16="http://schemas.microsoft.com/office/drawing/2014/main" id="{4D620EED-4A85-B72A-A370-54547401EC66}"/>
            </a:ext>
          </a:extLst>
        </xdr:cNvPr>
        <xdr:cNvSpPr/>
      </xdr:nvSpPr>
      <xdr:spPr>
        <a:xfrm>
          <a:off x="145773" y="463825"/>
          <a:ext cx="934280" cy="291547"/>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1</xdr:row>
          <xdr:rowOff>220980</xdr:rowOff>
        </xdr:from>
        <xdr:to>
          <xdr:col>1</xdr:col>
          <xdr:colOff>198120</xdr:colOff>
          <xdr:row>1</xdr:row>
          <xdr:rowOff>571500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318052</xdr:colOff>
      <xdr:row>1</xdr:row>
      <xdr:rowOff>245828</xdr:rowOff>
    </xdr:from>
    <xdr:to>
      <xdr:col>6</xdr:col>
      <xdr:colOff>1252332</xdr:colOff>
      <xdr:row>1</xdr:row>
      <xdr:rowOff>537375</xdr:rowOff>
    </xdr:to>
    <xdr:sp macro="" textlink="">
      <xdr:nvSpPr>
        <xdr:cNvPr id="15" name="Speech Bubble: Rectangle 14">
          <a:extLst>
            <a:ext uri="{FF2B5EF4-FFF2-40B4-BE49-F238E27FC236}">
              <a16:creationId xmlns:a16="http://schemas.microsoft.com/office/drawing/2014/main" id="{B05D39DD-A819-4734-3DD3-FE5DD5F6EEA3}"/>
            </a:ext>
          </a:extLst>
        </xdr:cNvPr>
        <xdr:cNvSpPr/>
      </xdr:nvSpPr>
      <xdr:spPr>
        <a:xfrm>
          <a:off x="5844209" y="431358"/>
          <a:ext cx="934280" cy="291547"/>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350520</xdr:colOff>
          <xdr:row>1</xdr:row>
          <xdr:rowOff>220980</xdr:rowOff>
        </xdr:from>
        <xdr:to>
          <xdr:col>7</xdr:col>
          <xdr:colOff>365760</xdr:colOff>
          <xdr:row>1</xdr:row>
          <xdr:rowOff>571500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72886</xdr:colOff>
      <xdr:row>1</xdr:row>
      <xdr:rowOff>245828</xdr:rowOff>
    </xdr:from>
    <xdr:to>
      <xdr:col>10</xdr:col>
      <xdr:colOff>1007166</xdr:colOff>
      <xdr:row>1</xdr:row>
      <xdr:rowOff>537375</xdr:rowOff>
    </xdr:to>
    <xdr:sp macro="" textlink="">
      <xdr:nvSpPr>
        <xdr:cNvPr id="16" name="Speech Bubble: Rectangle 15">
          <a:extLst>
            <a:ext uri="{FF2B5EF4-FFF2-40B4-BE49-F238E27FC236}">
              <a16:creationId xmlns:a16="http://schemas.microsoft.com/office/drawing/2014/main" id="{0A8AB666-F8FC-3E4A-1E57-89ABA140BC2B}"/>
            </a:ext>
          </a:extLst>
        </xdr:cNvPr>
        <xdr:cNvSpPr/>
      </xdr:nvSpPr>
      <xdr:spPr>
        <a:xfrm>
          <a:off x="10018643" y="431358"/>
          <a:ext cx="934280" cy="291547"/>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137160</xdr:colOff>
          <xdr:row>1</xdr:row>
          <xdr:rowOff>213360</xdr:rowOff>
        </xdr:from>
        <xdr:to>
          <xdr:col>10</xdr:col>
          <xdr:colOff>1813560</xdr:colOff>
          <xdr:row>1</xdr:row>
          <xdr:rowOff>563880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yank Kapadane" refreshedDate="45130.527826736114" createdVersion="8" refreshedVersion="8" minRefreshableVersion="3" recordCount="141" xr:uid="{2798F27A-1987-450B-991A-144C826E8A60}">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0103431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x v="0"/>
    <n v="500"/>
    <n v="0.67800000000000005"/>
    <n v="0.32199999999999995"/>
  </r>
  <r>
    <x v="1"/>
    <x v="1"/>
    <x v="1"/>
    <n v="44"/>
    <n v="85"/>
    <n v="47"/>
    <n v="15"/>
    <n v="48"/>
    <x v="1"/>
    <n v="500"/>
    <n v="0.47799999999999998"/>
    <n v="0.52200000000000002"/>
  </r>
  <r>
    <x v="2"/>
    <x v="2"/>
    <x v="2"/>
    <n v="45"/>
    <n v="79"/>
    <n v="88"/>
    <n v="73"/>
    <n v="94"/>
    <x v="2"/>
    <n v="500"/>
    <n v="0.75800000000000001"/>
    <n v="0.24199999999999999"/>
  </r>
  <r>
    <x v="3"/>
    <x v="3"/>
    <x v="3"/>
    <n v="52"/>
    <n v="99"/>
    <n v="13"/>
    <n v="95"/>
    <n v="29"/>
    <x v="3"/>
    <n v="500"/>
    <n v="0.57599999999999996"/>
    <n v="0.42400000000000004"/>
  </r>
  <r>
    <x v="4"/>
    <x v="4"/>
    <x v="4"/>
    <n v="35"/>
    <n v="54"/>
    <n v="49"/>
    <n v="26"/>
    <n v="49"/>
    <x v="4"/>
    <n v="500"/>
    <n v="0.42599999999999999"/>
    <n v="0.57400000000000007"/>
  </r>
  <r>
    <x v="5"/>
    <x v="5"/>
    <x v="5"/>
    <n v="86"/>
    <n v="31"/>
    <n v="23"/>
    <n v="48"/>
    <n v="77"/>
    <x v="5"/>
    <n v="500"/>
    <n v="0.53"/>
    <n v="0.47"/>
  </r>
  <r>
    <x v="6"/>
    <x v="6"/>
    <x v="6"/>
    <n v="84"/>
    <n v="28"/>
    <n v="98"/>
    <n v="80"/>
    <n v="79"/>
    <x v="6"/>
    <n v="500"/>
    <n v="0.73799999999999999"/>
    <n v="0.26200000000000001"/>
  </r>
  <r>
    <x v="7"/>
    <x v="7"/>
    <x v="7"/>
    <n v="73"/>
    <n v="97"/>
    <n v="38"/>
    <n v="24"/>
    <n v="53"/>
    <x v="7"/>
    <n v="500"/>
    <n v="0.56999999999999995"/>
    <n v="0.43000000000000005"/>
  </r>
  <r>
    <x v="8"/>
    <x v="8"/>
    <x v="0"/>
    <n v="54"/>
    <n v="26"/>
    <n v="53"/>
    <n v="36"/>
    <n v="20"/>
    <x v="8"/>
    <n v="500"/>
    <n v="0.378"/>
    <n v="0.622"/>
  </r>
  <r>
    <x v="9"/>
    <x v="9"/>
    <x v="1"/>
    <n v="52"/>
    <n v="52"/>
    <n v="19"/>
    <n v="53"/>
    <n v="37"/>
    <x v="4"/>
    <n v="500"/>
    <n v="0.42599999999999999"/>
    <n v="0.57400000000000007"/>
  </r>
  <r>
    <x v="10"/>
    <x v="10"/>
    <x v="2"/>
    <n v="63"/>
    <n v="17"/>
    <n v="40"/>
    <n v="48"/>
    <n v="51"/>
    <x v="9"/>
    <n v="500"/>
    <n v="0.438"/>
    <n v="0.56200000000000006"/>
  </r>
  <r>
    <x v="11"/>
    <x v="11"/>
    <x v="3"/>
    <n v="79"/>
    <n v="99"/>
    <n v="95"/>
    <n v="12"/>
    <n v="91"/>
    <x v="10"/>
    <n v="500"/>
    <n v="0.752"/>
    <n v="0.248"/>
  </r>
  <r>
    <x v="12"/>
    <x v="12"/>
    <x v="4"/>
    <n v="95"/>
    <n v="88"/>
    <n v="11"/>
    <n v="78"/>
    <n v="60"/>
    <x v="11"/>
    <n v="500"/>
    <n v="0.66400000000000003"/>
    <n v="0.33599999999999997"/>
  </r>
  <r>
    <x v="13"/>
    <x v="13"/>
    <x v="5"/>
    <n v="83"/>
    <n v="77"/>
    <n v="66"/>
    <n v="22"/>
    <n v="40"/>
    <x v="3"/>
    <n v="500"/>
    <n v="0.57599999999999996"/>
    <n v="0.42400000000000004"/>
  </r>
  <r>
    <x v="14"/>
    <x v="14"/>
    <x v="6"/>
    <n v="78"/>
    <n v="58"/>
    <n v="34"/>
    <n v="84"/>
    <n v="31"/>
    <x v="7"/>
    <n v="500"/>
    <n v="0.56999999999999995"/>
    <n v="0.43000000000000005"/>
  </r>
  <r>
    <x v="15"/>
    <x v="15"/>
    <x v="7"/>
    <n v="14"/>
    <n v="25"/>
    <n v="45"/>
    <n v="70"/>
    <n v="45"/>
    <x v="12"/>
    <n v="500"/>
    <n v="0.39800000000000002"/>
    <n v="0.60199999999999998"/>
  </r>
  <r>
    <x v="16"/>
    <x v="16"/>
    <x v="0"/>
    <n v="37"/>
    <n v="69"/>
    <n v="96"/>
    <n v="66"/>
    <n v="38"/>
    <x v="13"/>
    <n v="500"/>
    <n v="0.61199999999999999"/>
    <n v="0.38800000000000001"/>
  </r>
  <r>
    <x v="17"/>
    <x v="17"/>
    <x v="1"/>
    <n v="11"/>
    <n v="46"/>
    <n v="91"/>
    <n v="98"/>
    <n v="45"/>
    <x v="14"/>
    <n v="500"/>
    <n v="0.58199999999999996"/>
    <n v="0.41800000000000004"/>
  </r>
  <r>
    <x v="18"/>
    <x v="18"/>
    <x v="2"/>
    <n v="19"/>
    <n v="34"/>
    <n v="64"/>
    <n v="65"/>
    <n v="70"/>
    <x v="15"/>
    <n v="500"/>
    <n v="0.504"/>
    <n v="0.496"/>
  </r>
  <r>
    <x v="19"/>
    <x v="19"/>
    <x v="3"/>
    <n v="93"/>
    <n v="84"/>
    <n v="13"/>
    <n v="45"/>
    <n v="18"/>
    <x v="16"/>
    <n v="500"/>
    <n v="0.50600000000000001"/>
    <n v="0.49399999999999999"/>
  </r>
  <r>
    <x v="20"/>
    <x v="20"/>
    <x v="4"/>
    <n v="68"/>
    <n v="73"/>
    <n v="97"/>
    <n v="76"/>
    <n v="53"/>
    <x v="17"/>
    <n v="500"/>
    <n v="0.73399999999999999"/>
    <n v="0.26600000000000001"/>
  </r>
  <r>
    <x v="21"/>
    <x v="21"/>
    <x v="5"/>
    <n v="99"/>
    <n v="17"/>
    <n v="48"/>
    <n v="44"/>
    <n v="93"/>
    <x v="18"/>
    <n v="500"/>
    <n v="0.60199999999999998"/>
    <n v="0.39800000000000002"/>
  </r>
  <r>
    <x v="22"/>
    <x v="22"/>
    <x v="6"/>
    <n v="57"/>
    <n v="28"/>
    <n v="31"/>
    <n v="34"/>
    <n v="52"/>
    <x v="19"/>
    <n v="500"/>
    <n v="0.40400000000000003"/>
    <n v="0.59599999999999997"/>
  </r>
  <r>
    <x v="23"/>
    <x v="23"/>
    <x v="7"/>
    <n v="40"/>
    <n v="22"/>
    <n v="18"/>
    <n v="11"/>
    <n v="92"/>
    <x v="20"/>
    <n v="500"/>
    <n v="0.36599999999999999"/>
    <n v="0.63400000000000001"/>
  </r>
  <r>
    <x v="24"/>
    <x v="24"/>
    <x v="0"/>
    <n v="47"/>
    <n v="99"/>
    <n v="94"/>
    <n v="75"/>
    <n v="29"/>
    <x v="21"/>
    <n v="500"/>
    <n v="0.68799999999999994"/>
    <n v="0.31200000000000006"/>
  </r>
  <r>
    <x v="25"/>
    <x v="25"/>
    <x v="1"/>
    <n v="16"/>
    <n v="71"/>
    <n v="80"/>
    <n v="76"/>
    <n v="33"/>
    <x v="22"/>
    <n v="500"/>
    <n v="0.55200000000000005"/>
    <n v="0.44799999999999995"/>
  </r>
  <r>
    <x v="26"/>
    <x v="26"/>
    <x v="2"/>
    <n v="72"/>
    <n v="87"/>
    <n v="92"/>
    <n v="72"/>
    <n v="34"/>
    <x v="23"/>
    <n v="500"/>
    <n v="0.71399999999999997"/>
    <n v="0.28600000000000003"/>
  </r>
  <r>
    <x v="27"/>
    <x v="27"/>
    <x v="3"/>
    <n v="30"/>
    <n v="38"/>
    <n v="70"/>
    <n v="89"/>
    <n v="97"/>
    <x v="24"/>
    <n v="500"/>
    <n v="0.64800000000000002"/>
    <n v="0.35199999999999998"/>
  </r>
  <r>
    <x v="28"/>
    <x v="28"/>
    <x v="4"/>
    <n v="65"/>
    <n v="90"/>
    <n v="91"/>
    <n v="85"/>
    <n v="10"/>
    <x v="25"/>
    <n v="500"/>
    <n v="0.68200000000000005"/>
    <n v="0.31799999999999995"/>
  </r>
  <r>
    <x v="29"/>
    <x v="29"/>
    <x v="5"/>
    <n v="83"/>
    <n v="46"/>
    <n v="99"/>
    <n v="36"/>
    <n v="89"/>
    <x v="26"/>
    <n v="500"/>
    <n v="0.70599999999999996"/>
    <n v="0.29400000000000004"/>
  </r>
  <r>
    <x v="30"/>
    <x v="30"/>
    <x v="6"/>
    <n v="10"/>
    <n v="66"/>
    <n v="40"/>
    <n v="22"/>
    <n v="38"/>
    <x v="27"/>
    <n v="500"/>
    <n v="0.35199999999999998"/>
    <n v="0.64800000000000002"/>
  </r>
  <r>
    <x v="31"/>
    <x v="31"/>
    <x v="7"/>
    <n v="37"/>
    <n v="30"/>
    <n v="19"/>
    <n v="77"/>
    <n v="67"/>
    <x v="28"/>
    <n v="500"/>
    <n v="0.46"/>
    <n v="0.54"/>
  </r>
  <r>
    <x v="32"/>
    <x v="32"/>
    <x v="0"/>
    <n v="83"/>
    <n v="46"/>
    <n v="17"/>
    <n v="94"/>
    <n v="92"/>
    <x v="11"/>
    <n v="500"/>
    <n v="0.66400000000000003"/>
    <n v="0.33599999999999997"/>
  </r>
  <r>
    <x v="33"/>
    <x v="33"/>
    <x v="1"/>
    <n v="84"/>
    <n v="59"/>
    <n v="41"/>
    <n v="17"/>
    <n v="22"/>
    <x v="29"/>
    <n v="500"/>
    <n v="0.44600000000000001"/>
    <n v="0.55400000000000005"/>
  </r>
  <r>
    <x v="34"/>
    <x v="34"/>
    <x v="2"/>
    <n v="82"/>
    <n v="54"/>
    <n v="79"/>
    <n v="61"/>
    <n v="47"/>
    <x v="30"/>
    <n v="500"/>
    <n v="0.64600000000000002"/>
    <n v="0.35399999999999998"/>
  </r>
  <r>
    <x v="35"/>
    <x v="35"/>
    <x v="3"/>
    <n v="47"/>
    <n v="23"/>
    <n v="19"/>
    <n v="64"/>
    <n v="61"/>
    <x v="31"/>
    <n v="500"/>
    <n v="0.42799999999999999"/>
    <n v="0.57200000000000006"/>
  </r>
  <r>
    <x v="36"/>
    <x v="36"/>
    <x v="4"/>
    <n v="91"/>
    <n v="13"/>
    <n v="79"/>
    <n v="85"/>
    <n v="67"/>
    <x v="32"/>
    <n v="500"/>
    <n v="0.67"/>
    <n v="0.32999999999999996"/>
  </r>
  <r>
    <x v="37"/>
    <x v="37"/>
    <x v="5"/>
    <n v="66"/>
    <n v="59"/>
    <n v="25"/>
    <n v="55"/>
    <n v="59"/>
    <x v="33"/>
    <n v="500"/>
    <n v="0.52800000000000002"/>
    <n v="0.47199999999999998"/>
  </r>
  <r>
    <x v="38"/>
    <x v="38"/>
    <x v="6"/>
    <n v="70"/>
    <n v="18"/>
    <n v="88"/>
    <n v="46"/>
    <n v="52"/>
    <x v="34"/>
    <n v="500"/>
    <n v="0.54800000000000004"/>
    <n v="0.45199999999999996"/>
  </r>
  <r>
    <x v="39"/>
    <x v="39"/>
    <x v="7"/>
    <n v="37"/>
    <n v="60"/>
    <n v="44"/>
    <n v="61"/>
    <n v="30"/>
    <x v="35"/>
    <n v="500"/>
    <n v="0.46400000000000002"/>
    <n v="0.53600000000000003"/>
  </r>
  <r>
    <x v="40"/>
    <x v="40"/>
    <x v="0"/>
    <n v="16"/>
    <n v="46"/>
    <n v="33"/>
    <n v="54"/>
    <n v="58"/>
    <x v="36"/>
    <n v="500"/>
    <n v="0.41399999999999998"/>
    <n v="0.58600000000000008"/>
  </r>
  <r>
    <x v="41"/>
    <x v="41"/>
    <x v="1"/>
    <n v="47"/>
    <n v="97"/>
    <n v="74"/>
    <n v="97"/>
    <n v="56"/>
    <x v="37"/>
    <n v="500"/>
    <n v="0.74199999999999999"/>
    <n v="0.25800000000000001"/>
  </r>
  <r>
    <x v="42"/>
    <x v="42"/>
    <x v="2"/>
    <n v="86"/>
    <n v="22"/>
    <n v="10"/>
    <n v="60"/>
    <n v="28"/>
    <x v="38"/>
    <n v="500"/>
    <n v="0.41199999999999998"/>
    <n v="0.58800000000000008"/>
  </r>
  <r>
    <x v="43"/>
    <x v="43"/>
    <x v="3"/>
    <n v="74"/>
    <n v="17"/>
    <n v="45"/>
    <n v="64"/>
    <n v="13"/>
    <x v="4"/>
    <n v="500"/>
    <n v="0.42599999999999999"/>
    <n v="0.57400000000000007"/>
  </r>
  <r>
    <x v="44"/>
    <x v="44"/>
    <x v="4"/>
    <n v="80"/>
    <n v="51"/>
    <n v="15"/>
    <n v="97"/>
    <n v="42"/>
    <x v="7"/>
    <n v="500"/>
    <n v="0.56999999999999995"/>
    <n v="0.43000000000000005"/>
  </r>
  <r>
    <x v="45"/>
    <x v="45"/>
    <x v="5"/>
    <n v="49"/>
    <n v="82"/>
    <n v="95"/>
    <n v="46"/>
    <n v="78"/>
    <x v="39"/>
    <n v="500"/>
    <n v="0.7"/>
    <n v="0.30000000000000004"/>
  </r>
  <r>
    <x v="46"/>
    <x v="46"/>
    <x v="6"/>
    <n v="17"/>
    <n v="88"/>
    <n v="12"/>
    <n v="54"/>
    <n v="21"/>
    <x v="40"/>
    <n v="500"/>
    <n v="0.38400000000000001"/>
    <n v="0.61599999999999999"/>
  </r>
  <r>
    <x v="47"/>
    <x v="47"/>
    <x v="7"/>
    <n v="74"/>
    <n v="16"/>
    <n v="74"/>
    <n v="36"/>
    <n v="33"/>
    <x v="41"/>
    <n v="500"/>
    <n v="0.46600000000000003"/>
    <n v="0.53400000000000003"/>
  </r>
  <r>
    <x v="48"/>
    <x v="48"/>
    <x v="0"/>
    <n v="73"/>
    <n v="72"/>
    <n v="38"/>
    <n v="19"/>
    <n v="90"/>
    <x v="42"/>
    <n v="500"/>
    <n v="0.58399999999999996"/>
    <n v="0.41600000000000004"/>
  </r>
  <r>
    <x v="49"/>
    <x v="49"/>
    <x v="1"/>
    <n v="17"/>
    <n v="84"/>
    <n v="90"/>
    <n v="77"/>
    <n v="72"/>
    <x v="43"/>
    <n v="500"/>
    <n v="0.68"/>
    <n v="0.31999999999999995"/>
  </r>
  <r>
    <x v="50"/>
    <x v="50"/>
    <x v="2"/>
    <n v="52"/>
    <n v="36"/>
    <n v="84"/>
    <n v="41"/>
    <n v="57"/>
    <x v="44"/>
    <n v="500"/>
    <n v="0.54"/>
    <n v="0.45999999999999996"/>
  </r>
  <r>
    <x v="51"/>
    <x v="51"/>
    <x v="3"/>
    <n v="65"/>
    <n v="67"/>
    <n v="72"/>
    <n v="22"/>
    <n v="23"/>
    <x v="45"/>
    <n v="500"/>
    <n v="0.498"/>
    <n v="0.502"/>
  </r>
  <r>
    <x v="52"/>
    <x v="52"/>
    <x v="4"/>
    <n v="88"/>
    <n v="39"/>
    <n v="25"/>
    <n v="99"/>
    <n v="71"/>
    <x v="46"/>
    <n v="500"/>
    <n v="0.64400000000000002"/>
    <n v="0.35599999999999998"/>
  </r>
  <r>
    <x v="53"/>
    <x v="53"/>
    <x v="5"/>
    <n v="23"/>
    <n v="14"/>
    <n v="15"/>
    <n v="58"/>
    <n v="79"/>
    <x v="8"/>
    <n v="500"/>
    <n v="0.378"/>
    <n v="0.622"/>
  </r>
  <r>
    <x v="54"/>
    <x v="54"/>
    <x v="6"/>
    <n v="15"/>
    <n v="67"/>
    <n v="48"/>
    <n v="95"/>
    <n v="35"/>
    <x v="47"/>
    <n v="500"/>
    <n v="0.52"/>
    <n v="0.48"/>
  </r>
  <r>
    <x v="55"/>
    <x v="55"/>
    <x v="7"/>
    <n v="18"/>
    <n v="35"/>
    <n v="82"/>
    <n v="31"/>
    <n v="26"/>
    <x v="40"/>
    <n v="500"/>
    <n v="0.38400000000000001"/>
    <n v="0.61599999999999999"/>
  </r>
  <r>
    <x v="56"/>
    <x v="56"/>
    <x v="0"/>
    <n v="57"/>
    <n v="60"/>
    <n v="42"/>
    <n v="81"/>
    <n v="44"/>
    <x v="48"/>
    <n v="500"/>
    <n v="0.56799999999999995"/>
    <n v="0.43200000000000005"/>
  </r>
  <r>
    <x v="57"/>
    <x v="57"/>
    <x v="1"/>
    <n v="34"/>
    <n v="97"/>
    <n v="66"/>
    <n v="45"/>
    <n v="50"/>
    <x v="42"/>
    <n v="500"/>
    <n v="0.58399999999999996"/>
    <n v="0.41600000000000004"/>
  </r>
  <r>
    <x v="58"/>
    <x v="58"/>
    <x v="2"/>
    <n v="83"/>
    <n v="12"/>
    <n v="70"/>
    <n v="83"/>
    <n v="52"/>
    <x v="49"/>
    <n v="500"/>
    <n v="0.6"/>
    <n v="0.4"/>
  </r>
  <r>
    <x v="59"/>
    <x v="59"/>
    <x v="3"/>
    <n v="76"/>
    <n v="55"/>
    <n v="56"/>
    <n v="16"/>
    <n v="61"/>
    <x v="33"/>
    <n v="500"/>
    <n v="0.52800000000000002"/>
    <n v="0.47199999999999998"/>
  </r>
  <r>
    <x v="60"/>
    <x v="60"/>
    <x v="4"/>
    <n v="40"/>
    <n v="70"/>
    <n v="19"/>
    <n v="36"/>
    <n v="52"/>
    <x v="50"/>
    <n v="500"/>
    <n v="0.434"/>
    <n v="0.56600000000000006"/>
  </r>
  <r>
    <x v="61"/>
    <x v="61"/>
    <x v="5"/>
    <n v="44"/>
    <n v="60"/>
    <n v="71"/>
    <n v="34"/>
    <n v="37"/>
    <x v="51"/>
    <n v="500"/>
    <n v="0.49199999999999999"/>
    <n v="0.50800000000000001"/>
  </r>
  <r>
    <x v="62"/>
    <x v="62"/>
    <x v="6"/>
    <n v="43"/>
    <n v="78"/>
    <n v="15"/>
    <n v="98"/>
    <n v="33"/>
    <x v="52"/>
    <n v="500"/>
    <n v="0.53400000000000003"/>
    <n v="0.46599999999999997"/>
  </r>
  <r>
    <x v="63"/>
    <x v="63"/>
    <x v="7"/>
    <n v="75"/>
    <n v="75"/>
    <n v="89"/>
    <n v="97"/>
    <n v="49"/>
    <x v="53"/>
    <n v="500"/>
    <n v="0.77"/>
    <n v="0.22999999999999998"/>
  </r>
  <r>
    <x v="64"/>
    <x v="64"/>
    <x v="0"/>
    <n v="74"/>
    <n v="51"/>
    <n v="97"/>
    <n v="73"/>
    <n v="33"/>
    <x v="54"/>
    <n v="500"/>
    <n v="0.65600000000000003"/>
    <n v="0.34399999999999997"/>
  </r>
  <r>
    <x v="65"/>
    <x v="65"/>
    <x v="1"/>
    <n v="44"/>
    <n v="36"/>
    <n v="11"/>
    <n v="45"/>
    <n v="30"/>
    <x v="55"/>
    <n v="500"/>
    <n v="0.33200000000000002"/>
    <n v="0.66799999999999993"/>
  </r>
  <r>
    <x v="66"/>
    <x v="66"/>
    <x v="2"/>
    <n v="87"/>
    <n v="79"/>
    <n v="46"/>
    <n v="65"/>
    <n v="65"/>
    <x v="56"/>
    <n v="500"/>
    <n v="0.68400000000000005"/>
    <n v="0.31599999999999995"/>
  </r>
  <r>
    <x v="67"/>
    <x v="67"/>
    <x v="3"/>
    <n v="70"/>
    <n v="52"/>
    <n v="80"/>
    <n v="43"/>
    <n v="48"/>
    <x v="57"/>
    <n v="500"/>
    <n v="0.58599999999999997"/>
    <n v="0.41400000000000003"/>
  </r>
  <r>
    <x v="68"/>
    <x v="68"/>
    <x v="4"/>
    <n v="45"/>
    <n v="26"/>
    <n v="27"/>
    <n v="14"/>
    <n v="59"/>
    <x v="58"/>
    <n v="500"/>
    <n v="0.34200000000000003"/>
    <n v="0.65799999999999992"/>
  </r>
  <r>
    <x v="69"/>
    <x v="69"/>
    <x v="5"/>
    <n v="51"/>
    <n v="26"/>
    <n v="58"/>
    <n v="83"/>
    <n v="11"/>
    <x v="59"/>
    <n v="500"/>
    <n v="0.45800000000000002"/>
    <n v="0.54200000000000004"/>
  </r>
  <r>
    <x v="70"/>
    <x v="70"/>
    <x v="6"/>
    <n v="68"/>
    <n v="36"/>
    <n v="15"/>
    <n v="20"/>
    <n v="17"/>
    <x v="60"/>
    <n v="500"/>
    <n v="0.312"/>
    <n v="0.68799999999999994"/>
  </r>
  <r>
    <x v="71"/>
    <x v="71"/>
    <x v="7"/>
    <n v="32"/>
    <n v="74"/>
    <n v="18"/>
    <n v="33"/>
    <n v="51"/>
    <x v="61"/>
    <n v="500"/>
    <n v="0.41599999999999998"/>
    <n v="0.58400000000000007"/>
  </r>
  <r>
    <x v="72"/>
    <x v="72"/>
    <x v="0"/>
    <n v="41"/>
    <n v="11"/>
    <n v="46"/>
    <n v="35"/>
    <n v="10"/>
    <x v="62"/>
    <n v="500"/>
    <n v="0.28599999999999998"/>
    <n v="0.71399999999999997"/>
  </r>
  <r>
    <x v="73"/>
    <x v="73"/>
    <x v="1"/>
    <n v="41"/>
    <n v="17"/>
    <n v="82"/>
    <n v="75"/>
    <n v="39"/>
    <x v="63"/>
    <n v="500"/>
    <n v="0.50800000000000001"/>
    <n v="0.49199999999999999"/>
  </r>
  <r>
    <x v="74"/>
    <x v="74"/>
    <x v="2"/>
    <n v="12"/>
    <n v="97"/>
    <n v="45"/>
    <n v="29"/>
    <n v="41"/>
    <x v="64"/>
    <n v="500"/>
    <n v="0.44800000000000001"/>
    <n v="0.55200000000000005"/>
  </r>
  <r>
    <x v="75"/>
    <x v="75"/>
    <x v="3"/>
    <n v="19"/>
    <n v="72"/>
    <n v="87"/>
    <n v="82"/>
    <n v="27"/>
    <x v="65"/>
    <n v="500"/>
    <n v="0.57399999999999995"/>
    <n v="0.42600000000000005"/>
  </r>
  <r>
    <x v="76"/>
    <x v="76"/>
    <x v="4"/>
    <n v="98"/>
    <n v="15"/>
    <n v="72"/>
    <n v="67"/>
    <n v="34"/>
    <x v="66"/>
    <n v="500"/>
    <n v="0.57199999999999995"/>
    <n v="0.42800000000000005"/>
  </r>
  <r>
    <x v="77"/>
    <x v="77"/>
    <x v="5"/>
    <n v="50"/>
    <n v="44"/>
    <n v="46"/>
    <n v="13"/>
    <n v="92"/>
    <x v="67"/>
    <n v="500"/>
    <n v="0.49"/>
    <n v="0.51"/>
  </r>
  <r>
    <x v="78"/>
    <x v="78"/>
    <x v="6"/>
    <n v="40"/>
    <n v="82"/>
    <n v="72"/>
    <n v="42"/>
    <n v="45"/>
    <x v="68"/>
    <n v="500"/>
    <n v="0.56200000000000006"/>
    <n v="0.43799999999999994"/>
  </r>
  <r>
    <x v="79"/>
    <x v="79"/>
    <x v="7"/>
    <n v="23"/>
    <n v="83"/>
    <n v="63"/>
    <n v="65"/>
    <n v="83"/>
    <x v="69"/>
    <n v="500"/>
    <n v="0.63400000000000001"/>
    <n v="0.36599999999999999"/>
  </r>
  <r>
    <x v="80"/>
    <x v="80"/>
    <x v="0"/>
    <n v="71"/>
    <n v="94"/>
    <n v="45"/>
    <n v="95"/>
    <n v="46"/>
    <x v="70"/>
    <n v="500"/>
    <n v="0.70199999999999996"/>
    <n v="0.29800000000000004"/>
  </r>
  <r>
    <x v="81"/>
    <x v="81"/>
    <x v="1"/>
    <n v="48"/>
    <n v="49"/>
    <n v="68"/>
    <n v="23"/>
    <n v="21"/>
    <x v="71"/>
    <n v="500"/>
    <n v="0.41799999999999998"/>
    <n v="0.58200000000000007"/>
  </r>
  <r>
    <x v="82"/>
    <x v="82"/>
    <x v="2"/>
    <n v="77"/>
    <n v="83"/>
    <n v="64"/>
    <n v="53"/>
    <n v="13"/>
    <x v="72"/>
    <n v="500"/>
    <n v="0.57999999999999996"/>
    <n v="0.42000000000000004"/>
  </r>
  <r>
    <x v="83"/>
    <x v="83"/>
    <x v="3"/>
    <n v="81"/>
    <n v="63"/>
    <n v="88"/>
    <n v="89"/>
    <n v="63"/>
    <x v="73"/>
    <n v="500"/>
    <n v="0.76800000000000002"/>
    <n v="0.23199999999999998"/>
  </r>
  <r>
    <x v="84"/>
    <x v="84"/>
    <x v="4"/>
    <n v="39"/>
    <n v="87"/>
    <n v="62"/>
    <n v="80"/>
    <n v="81"/>
    <x v="74"/>
    <n v="500"/>
    <n v="0.69799999999999995"/>
    <n v="0.30200000000000005"/>
  </r>
  <r>
    <x v="85"/>
    <x v="85"/>
    <x v="5"/>
    <n v="46"/>
    <n v="19"/>
    <n v="59"/>
    <n v="58"/>
    <n v="33"/>
    <x v="75"/>
    <n v="500"/>
    <n v="0.43"/>
    <n v="0.57000000000000006"/>
  </r>
  <r>
    <x v="86"/>
    <x v="86"/>
    <x v="6"/>
    <n v="34"/>
    <n v="15"/>
    <n v="43"/>
    <n v="63"/>
    <n v="54"/>
    <x v="71"/>
    <n v="500"/>
    <n v="0.41799999999999998"/>
    <n v="0.58200000000000007"/>
  </r>
  <r>
    <x v="87"/>
    <x v="87"/>
    <x v="7"/>
    <n v="32"/>
    <n v="79"/>
    <n v="65"/>
    <n v="57"/>
    <n v="73"/>
    <x v="13"/>
    <n v="500"/>
    <n v="0.61199999999999999"/>
    <n v="0.38800000000000001"/>
  </r>
  <r>
    <x v="88"/>
    <x v="88"/>
    <x v="0"/>
    <n v="72"/>
    <n v="82"/>
    <n v="58"/>
    <n v="36"/>
    <n v="33"/>
    <x v="68"/>
    <n v="500"/>
    <n v="0.56200000000000006"/>
    <n v="0.43799999999999994"/>
  </r>
  <r>
    <x v="89"/>
    <x v="89"/>
    <x v="1"/>
    <n v="11"/>
    <n v="69"/>
    <n v="49"/>
    <n v="90"/>
    <n v="99"/>
    <x v="76"/>
    <n v="500"/>
    <n v="0.63600000000000001"/>
    <n v="0.36399999999999999"/>
  </r>
  <r>
    <x v="90"/>
    <x v="90"/>
    <x v="2"/>
    <n v="80"/>
    <n v="73"/>
    <n v="21"/>
    <n v="72"/>
    <n v="54"/>
    <x v="49"/>
    <n v="500"/>
    <n v="0.6"/>
    <n v="0.4"/>
  </r>
  <r>
    <x v="91"/>
    <x v="91"/>
    <x v="3"/>
    <n v="93"/>
    <n v="42"/>
    <n v="38"/>
    <n v="98"/>
    <n v="10"/>
    <x v="68"/>
    <n v="500"/>
    <n v="0.56200000000000006"/>
    <n v="0.43799999999999994"/>
  </r>
  <r>
    <x v="92"/>
    <x v="92"/>
    <x v="4"/>
    <n v="18"/>
    <n v="80"/>
    <n v="20"/>
    <n v="32"/>
    <n v="95"/>
    <x v="67"/>
    <n v="500"/>
    <n v="0.49"/>
    <n v="0.51"/>
  </r>
  <r>
    <x v="93"/>
    <x v="93"/>
    <x v="5"/>
    <n v="96"/>
    <n v="14"/>
    <n v="20"/>
    <n v="31"/>
    <n v="44"/>
    <x v="77"/>
    <n v="500"/>
    <n v="0.41"/>
    <n v="0.59000000000000008"/>
  </r>
  <r>
    <x v="94"/>
    <x v="94"/>
    <x v="6"/>
    <n v="37"/>
    <n v="60"/>
    <n v="50"/>
    <n v="68"/>
    <n v="19"/>
    <x v="78"/>
    <n v="500"/>
    <n v="0.46800000000000003"/>
    <n v="0.53200000000000003"/>
  </r>
  <r>
    <x v="95"/>
    <x v="95"/>
    <x v="7"/>
    <n v="35"/>
    <n v="79"/>
    <n v="17"/>
    <n v="85"/>
    <n v="16"/>
    <x v="35"/>
    <n v="500"/>
    <n v="0.46400000000000002"/>
    <n v="0.53600000000000003"/>
  </r>
  <r>
    <x v="96"/>
    <x v="96"/>
    <x v="0"/>
    <n v="31"/>
    <n v="48"/>
    <n v="56"/>
    <n v="85"/>
    <n v="25"/>
    <x v="67"/>
    <n v="500"/>
    <n v="0.49"/>
    <n v="0.51"/>
  </r>
  <r>
    <x v="97"/>
    <x v="97"/>
    <x v="1"/>
    <n v="23"/>
    <n v="83"/>
    <n v="86"/>
    <n v="69"/>
    <n v="25"/>
    <x v="66"/>
    <n v="500"/>
    <n v="0.57199999999999995"/>
    <n v="0.42800000000000005"/>
  </r>
  <r>
    <x v="98"/>
    <x v="98"/>
    <x v="2"/>
    <n v="17"/>
    <n v="97"/>
    <n v="81"/>
    <n v="32"/>
    <n v="76"/>
    <x v="79"/>
    <n v="500"/>
    <n v="0.60599999999999998"/>
    <n v="0.39400000000000002"/>
  </r>
  <r>
    <x v="99"/>
    <x v="99"/>
    <x v="3"/>
    <n v="92"/>
    <n v="45"/>
    <n v="43"/>
    <n v="91"/>
    <n v="47"/>
    <x v="76"/>
    <n v="500"/>
    <n v="0.63600000000000001"/>
    <n v="0.36399999999999999"/>
  </r>
  <r>
    <x v="100"/>
    <x v="100"/>
    <x v="4"/>
    <n v="49"/>
    <n v="77"/>
    <n v="18"/>
    <n v="69"/>
    <n v="55"/>
    <x v="80"/>
    <n v="500"/>
    <n v="0.53600000000000003"/>
    <n v="0.46399999999999997"/>
  </r>
  <r>
    <x v="101"/>
    <x v="101"/>
    <x v="5"/>
    <n v="81"/>
    <n v="88"/>
    <n v="19"/>
    <n v="95"/>
    <n v="39"/>
    <x v="46"/>
    <n v="500"/>
    <n v="0.64400000000000002"/>
    <n v="0.35599999999999998"/>
  </r>
  <r>
    <x v="102"/>
    <x v="102"/>
    <x v="6"/>
    <n v="55"/>
    <n v="14"/>
    <n v="41"/>
    <n v="40"/>
    <n v="70"/>
    <x v="81"/>
    <n v="500"/>
    <n v="0.44"/>
    <n v="0.56000000000000005"/>
  </r>
  <r>
    <x v="103"/>
    <x v="103"/>
    <x v="7"/>
    <n v="86"/>
    <n v="13"/>
    <n v="99"/>
    <n v="25"/>
    <n v="83"/>
    <x v="13"/>
    <n v="500"/>
    <n v="0.61199999999999999"/>
    <n v="0.38800000000000001"/>
  </r>
  <r>
    <x v="104"/>
    <x v="104"/>
    <x v="0"/>
    <n v="88"/>
    <n v="96"/>
    <n v="16"/>
    <n v="65"/>
    <n v="86"/>
    <x v="70"/>
    <n v="500"/>
    <n v="0.70199999999999996"/>
    <n v="0.29800000000000004"/>
  </r>
  <r>
    <x v="105"/>
    <x v="105"/>
    <x v="1"/>
    <n v="61"/>
    <n v="73"/>
    <n v="34"/>
    <n v="30"/>
    <n v="30"/>
    <x v="82"/>
    <n v="500"/>
    <n v="0.45600000000000002"/>
    <n v="0.54400000000000004"/>
  </r>
  <r>
    <x v="106"/>
    <x v="106"/>
    <x v="2"/>
    <n v="61"/>
    <n v="91"/>
    <n v="53"/>
    <n v="78"/>
    <n v="91"/>
    <x v="83"/>
    <n v="500"/>
    <n v="0.748"/>
    <n v="0.252"/>
  </r>
  <r>
    <x v="107"/>
    <x v="107"/>
    <x v="3"/>
    <n v="75"/>
    <n v="53"/>
    <n v="27"/>
    <n v="26"/>
    <n v="30"/>
    <x v="84"/>
    <n v="500"/>
    <n v="0.42199999999999999"/>
    <n v="0.57800000000000007"/>
  </r>
  <r>
    <x v="108"/>
    <x v="108"/>
    <x v="4"/>
    <n v="24"/>
    <n v="31"/>
    <n v="41"/>
    <n v="57"/>
    <n v="83"/>
    <x v="85"/>
    <n v="500"/>
    <n v="0.47199999999999998"/>
    <n v="0.52800000000000002"/>
  </r>
  <r>
    <x v="109"/>
    <x v="109"/>
    <x v="5"/>
    <n v="83"/>
    <n v="62"/>
    <n v="32"/>
    <n v="83"/>
    <n v="95"/>
    <x v="86"/>
    <n v="500"/>
    <n v="0.71"/>
    <n v="0.29000000000000004"/>
  </r>
  <r>
    <x v="110"/>
    <x v="110"/>
    <x v="6"/>
    <n v="39"/>
    <n v="52"/>
    <n v="72"/>
    <n v="99"/>
    <n v="58"/>
    <x v="87"/>
    <n v="500"/>
    <n v="0.64"/>
    <n v="0.36"/>
  </r>
  <r>
    <x v="111"/>
    <x v="111"/>
    <x v="7"/>
    <n v="93"/>
    <n v="74"/>
    <n v="85"/>
    <n v="47"/>
    <n v="90"/>
    <x v="88"/>
    <n v="500"/>
    <n v="0.77800000000000002"/>
    <n v="0.22199999999999998"/>
  </r>
  <r>
    <x v="112"/>
    <x v="112"/>
    <x v="0"/>
    <n v="43"/>
    <n v="88"/>
    <n v="35"/>
    <n v="54"/>
    <n v="91"/>
    <x v="89"/>
    <n v="500"/>
    <n v="0.622"/>
    <n v="0.378"/>
  </r>
  <r>
    <x v="113"/>
    <x v="113"/>
    <x v="1"/>
    <n v="87"/>
    <n v="15"/>
    <n v="11"/>
    <n v="42"/>
    <n v="88"/>
    <x v="90"/>
    <n v="500"/>
    <n v="0.48599999999999999"/>
    <n v="0.51400000000000001"/>
  </r>
  <r>
    <x v="114"/>
    <x v="114"/>
    <x v="2"/>
    <n v="45"/>
    <n v="45"/>
    <n v="61"/>
    <n v="11"/>
    <n v="52"/>
    <x v="31"/>
    <n v="500"/>
    <n v="0.42799999999999999"/>
    <n v="0.57200000000000006"/>
  </r>
  <r>
    <x v="115"/>
    <x v="115"/>
    <x v="3"/>
    <n v="71"/>
    <n v="42"/>
    <n v="17"/>
    <n v="57"/>
    <n v="96"/>
    <x v="91"/>
    <n v="500"/>
    <n v="0.56599999999999995"/>
    <n v="0.43400000000000005"/>
  </r>
  <r>
    <x v="116"/>
    <x v="116"/>
    <x v="4"/>
    <n v="26"/>
    <n v="65"/>
    <n v="17"/>
    <n v="28"/>
    <n v="30"/>
    <x v="55"/>
    <n v="500"/>
    <n v="0.33200000000000002"/>
    <n v="0.66799999999999993"/>
  </r>
  <r>
    <x v="117"/>
    <x v="117"/>
    <x v="5"/>
    <n v="26"/>
    <n v="61"/>
    <n v="89"/>
    <n v="71"/>
    <n v="33"/>
    <x v="92"/>
    <n v="500"/>
    <n v="0.56000000000000005"/>
    <n v="0.43999999999999995"/>
  </r>
  <r>
    <x v="118"/>
    <x v="118"/>
    <x v="6"/>
    <n v="93"/>
    <n v="11"/>
    <n v="93"/>
    <n v="31"/>
    <n v="30"/>
    <x v="93"/>
    <n v="500"/>
    <n v="0.51600000000000001"/>
    <n v="0.48399999999999999"/>
  </r>
  <r>
    <x v="119"/>
    <x v="119"/>
    <x v="7"/>
    <n v="65"/>
    <n v="92"/>
    <n v="48"/>
    <n v="96"/>
    <n v="15"/>
    <x v="94"/>
    <n v="500"/>
    <n v="0.63200000000000001"/>
    <n v="0.36799999999999999"/>
  </r>
  <r>
    <x v="120"/>
    <x v="120"/>
    <x v="0"/>
    <n v="91"/>
    <n v="38"/>
    <n v="33"/>
    <n v="55"/>
    <n v="83"/>
    <x v="49"/>
    <n v="500"/>
    <n v="0.6"/>
    <n v="0.4"/>
  </r>
  <r>
    <x v="121"/>
    <x v="121"/>
    <x v="1"/>
    <n v="20"/>
    <n v="94"/>
    <n v="45"/>
    <n v="70"/>
    <n v="98"/>
    <x v="95"/>
    <n v="500"/>
    <n v="0.65400000000000003"/>
    <n v="0.34599999999999997"/>
  </r>
  <r>
    <x v="122"/>
    <x v="122"/>
    <x v="2"/>
    <n v="25"/>
    <n v="83"/>
    <n v="26"/>
    <n v="68"/>
    <n v="22"/>
    <x v="64"/>
    <n v="500"/>
    <n v="0.44800000000000001"/>
    <n v="0.55200000000000005"/>
  </r>
  <r>
    <x v="123"/>
    <x v="123"/>
    <x v="3"/>
    <n v="26"/>
    <n v="16"/>
    <n v="61"/>
    <n v="92"/>
    <n v="50"/>
    <x v="67"/>
    <n v="500"/>
    <n v="0.49"/>
    <n v="0.51"/>
  </r>
  <r>
    <x v="124"/>
    <x v="124"/>
    <x v="4"/>
    <n v="31"/>
    <n v="55"/>
    <n v="75"/>
    <n v="66"/>
    <n v="75"/>
    <x v="96"/>
    <n v="500"/>
    <n v="0.60399999999999998"/>
    <n v="0.39600000000000002"/>
  </r>
  <r>
    <x v="125"/>
    <x v="125"/>
    <x v="5"/>
    <n v="41"/>
    <n v="66"/>
    <n v="48"/>
    <n v="70"/>
    <n v="48"/>
    <x v="97"/>
    <n v="500"/>
    <n v="0.54600000000000004"/>
    <n v="0.45399999999999996"/>
  </r>
  <r>
    <x v="126"/>
    <x v="126"/>
    <x v="6"/>
    <n v="60"/>
    <n v="92"/>
    <n v="32"/>
    <n v="60"/>
    <n v="78"/>
    <x v="46"/>
    <n v="500"/>
    <n v="0.64400000000000002"/>
    <n v="0.35599999999999998"/>
  </r>
  <r>
    <x v="127"/>
    <x v="127"/>
    <x v="7"/>
    <n v="42"/>
    <n v="24"/>
    <n v="19"/>
    <n v="82"/>
    <n v="16"/>
    <x v="20"/>
    <n v="500"/>
    <n v="0.36599999999999999"/>
    <n v="0.63400000000000001"/>
  </r>
  <r>
    <x v="128"/>
    <x v="128"/>
    <x v="0"/>
    <n v="26"/>
    <n v="85"/>
    <n v="75"/>
    <n v="83"/>
    <n v="37"/>
    <x v="13"/>
    <n v="500"/>
    <n v="0.61199999999999999"/>
    <n v="0.38800000000000001"/>
  </r>
  <r>
    <x v="129"/>
    <x v="129"/>
    <x v="1"/>
    <n v="81"/>
    <n v="68"/>
    <n v="74"/>
    <n v="72"/>
    <n v="12"/>
    <x v="98"/>
    <n v="500"/>
    <n v="0.61399999999999999"/>
    <n v="0.38600000000000001"/>
  </r>
  <r>
    <x v="130"/>
    <x v="130"/>
    <x v="2"/>
    <n v="90"/>
    <n v="79"/>
    <n v="99"/>
    <n v="60"/>
    <n v="27"/>
    <x v="86"/>
    <n v="500"/>
    <n v="0.71"/>
    <n v="0.29000000000000004"/>
  </r>
  <r>
    <x v="131"/>
    <x v="131"/>
    <x v="3"/>
    <n v="71"/>
    <n v="21"/>
    <n v="70"/>
    <n v="53"/>
    <n v="49"/>
    <x v="33"/>
    <n v="500"/>
    <n v="0.52800000000000002"/>
    <n v="0.47199999999999998"/>
  </r>
  <r>
    <x v="132"/>
    <x v="132"/>
    <x v="4"/>
    <n v="86"/>
    <n v="60"/>
    <n v="59"/>
    <n v="51"/>
    <n v="90"/>
    <x v="99"/>
    <n v="500"/>
    <n v="0.69199999999999995"/>
    <n v="0.30800000000000005"/>
  </r>
  <r>
    <x v="133"/>
    <x v="133"/>
    <x v="5"/>
    <n v="68"/>
    <n v="61"/>
    <n v="12"/>
    <n v="41"/>
    <n v="35"/>
    <x v="50"/>
    <n v="500"/>
    <n v="0.434"/>
    <n v="0.56600000000000006"/>
  </r>
  <r>
    <x v="134"/>
    <x v="134"/>
    <x v="6"/>
    <n v="65"/>
    <n v="34"/>
    <n v="15"/>
    <n v="86"/>
    <n v="71"/>
    <x v="100"/>
    <n v="500"/>
    <n v="0.54200000000000004"/>
    <n v="0.45799999999999996"/>
  </r>
  <r>
    <x v="135"/>
    <x v="135"/>
    <x v="7"/>
    <n v="91"/>
    <n v="21"/>
    <n v="59"/>
    <n v="85"/>
    <n v="60"/>
    <x v="94"/>
    <n v="500"/>
    <n v="0.63200000000000001"/>
    <n v="0.36799999999999999"/>
  </r>
  <r>
    <x v="136"/>
    <x v="136"/>
    <x v="0"/>
    <n v="73"/>
    <n v="67"/>
    <n v="49"/>
    <n v="56"/>
    <n v="43"/>
    <x v="3"/>
    <n v="500"/>
    <n v="0.57599999999999996"/>
    <n v="0.42400000000000004"/>
  </r>
  <r>
    <x v="137"/>
    <x v="137"/>
    <x v="1"/>
    <n v="72"/>
    <n v="49"/>
    <n v="93"/>
    <n v="95"/>
    <n v="73"/>
    <x v="101"/>
    <n v="500"/>
    <n v="0.76400000000000001"/>
    <n v="0.23599999999999999"/>
  </r>
  <r>
    <x v="138"/>
    <x v="138"/>
    <x v="2"/>
    <n v="85"/>
    <n v="43"/>
    <n v="74"/>
    <n v="26"/>
    <n v="88"/>
    <x v="94"/>
    <n v="500"/>
    <n v="0.63200000000000001"/>
    <n v="0.36799999999999999"/>
  </r>
  <r>
    <x v="139"/>
    <x v="139"/>
    <x v="3"/>
    <n v="77"/>
    <n v="81"/>
    <n v="10"/>
    <n v="65"/>
    <n v="83"/>
    <x v="94"/>
    <n v="500"/>
    <n v="0.63200000000000001"/>
    <n v="0.36799999999999999"/>
  </r>
  <r>
    <x v="140"/>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7ABB22-78B5-4CBD-8D32-FFBEBBB4616D}"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D3:E9"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6">
    <i>
      <x v="14"/>
    </i>
    <i>
      <x v="71"/>
    </i>
    <i>
      <x v="88"/>
    </i>
    <i>
      <x v="120"/>
    </i>
    <i>
      <x v="128"/>
    </i>
    <i t="grand">
      <x/>
    </i>
  </rowItems>
  <colItems count="1">
    <i/>
  </colItems>
  <dataFields count="1">
    <dataField name="Total Sales " fld="8" baseField="1" baseItem="3" numFmtId="9"/>
  </dataFields>
  <formats count="7">
    <format dxfId="27">
      <pivotArea dataOnly="0" labelOnly="1" fieldPosition="0">
        <references count="1">
          <reference field="1" count="1">
            <x v="3"/>
          </reference>
        </references>
      </pivotArea>
    </format>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fieldPosition="0">
        <references count="1">
          <reference field="1" count="5">
            <x v="26"/>
            <x v="70"/>
            <x v="72"/>
            <x v="74"/>
            <x v="77"/>
          </reference>
        </references>
      </pivotArea>
    </format>
    <format dxfId="22">
      <pivotArea dataOnly="0" labelOnly="1" grandRow="1" outline="0" fieldPosition="0"/>
    </format>
    <format dxfId="21">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26"/>
          </reference>
        </references>
      </pivotArea>
    </chartFormat>
    <chartFormat chart="1" format="2">
      <pivotArea type="data" outline="0" fieldPosition="0">
        <references count="2">
          <reference field="4294967294" count="1" selected="0">
            <x v="0"/>
          </reference>
          <reference field="1" count="1" selected="0">
            <x v="70"/>
          </reference>
        </references>
      </pivotArea>
    </chartFormat>
    <chartFormat chart="1" format="3">
      <pivotArea type="data" outline="0" fieldPosition="0">
        <references count="2">
          <reference field="4294967294" count="1" selected="0">
            <x v="0"/>
          </reference>
          <reference field="1" count="1" selected="0">
            <x v="72"/>
          </reference>
        </references>
      </pivotArea>
    </chartFormat>
    <chartFormat chart="1" format="4">
      <pivotArea type="data" outline="0" fieldPosition="0">
        <references count="2">
          <reference field="4294967294" count="1" selected="0">
            <x v="0"/>
          </reference>
          <reference field="1" count="1" selected="0">
            <x v="74"/>
          </reference>
        </references>
      </pivotArea>
    </chartFormat>
    <chartFormat chart="1" format="5">
      <pivotArea type="data" outline="0" fieldPosition="0">
        <references count="2">
          <reference field="4294967294" count="1" selected="0">
            <x v="0"/>
          </reference>
          <reference field="1" count="1" selected="0">
            <x v="77"/>
          </reference>
        </references>
      </pivotArea>
    </chartFormat>
    <chartFormat chart="1" format="6">
      <pivotArea type="data" outline="0" fieldPosition="0">
        <references count="2">
          <reference field="4294967294" count="1" selected="0">
            <x v="0"/>
          </reference>
          <reference field="1" count="1" selected="0">
            <x v="14"/>
          </reference>
        </references>
      </pivotArea>
    </chartFormat>
    <chartFormat chart="1" format="7">
      <pivotArea type="data" outline="0" fieldPosition="0">
        <references count="2">
          <reference field="4294967294" count="1" selected="0">
            <x v="0"/>
          </reference>
          <reference field="1" count="1" selected="0">
            <x v="71"/>
          </reference>
        </references>
      </pivotArea>
    </chartFormat>
    <chartFormat chart="1" format="8">
      <pivotArea type="data" outline="0" fieldPosition="0">
        <references count="2">
          <reference field="4294967294" count="1" selected="0">
            <x v="0"/>
          </reference>
          <reference field="1" count="1" selected="0">
            <x v="88"/>
          </reference>
        </references>
      </pivotArea>
    </chartFormat>
    <chartFormat chart="1" format="9">
      <pivotArea type="data" outline="0" fieldPosition="0">
        <references count="2">
          <reference field="4294967294" count="1" selected="0">
            <x v="0"/>
          </reference>
          <reference field="1" count="1" selected="0">
            <x v="120"/>
          </reference>
        </references>
      </pivotArea>
    </chartFormat>
    <chartFormat chart="1" format="10">
      <pivotArea type="data" outline="0" fieldPosition="0">
        <references count="2">
          <reference field="4294967294" count="1" selected="0">
            <x v="0"/>
          </reference>
          <reference field="1" count="1" selected="0">
            <x v="128"/>
          </reference>
        </references>
      </pivotArea>
    </chartFormat>
  </chartFormats>
  <pivotTableStyleInfo name="PivotStyleDark6" showRowHeaders="1" showColHeaders="1" showRowStripes="1" showColStripes="1"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729580-24EF-4737-83B1-C2DE7E532488}"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A3:B9"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6">
    <i>
      <x v="5"/>
    </i>
    <i>
      <x v="23"/>
    </i>
    <i>
      <x v="31"/>
    </i>
    <i>
      <x v="63"/>
    </i>
    <i>
      <x v="7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1" showColStripes="1"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E7CBFB8-7ACF-4CBA-A51F-7AF42E55CF25}"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4"/>
    </i>
    <i>
      <x v="71"/>
    </i>
    <i>
      <x v="88"/>
    </i>
    <i>
      <x v="120"/>
    </i>
    <i>
      <x v="128"/>
    </i>
    <i t="grand">
      <x/>
    </i>
  </rowItems>
  <colItems count="1">
    <i/>
  </colItems>
  <dataFields count="1">
    <dataField name="away from Target % wise" fld="11" baseField="1" baseItem="26" numFmtId="10"/>
  </dataFields>
  <pivotTableStyleInfo name="PivotStyleDark6" showRowHeaders="1" showColHeaders="1" showRowStripes="1" showColStripes="1"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0FA066-850F-4CB4-9F6B-688E2FC19D5D}"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wise" fld="10" baseField="1" baseItem="8"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1" showColStripes="1"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C8B3706-EEE1-440F-BD41-E3B9F349B472}" sourceName="Region">
  <pivotTables>
    <pivotTable tabId="2" name="PivotTable4"/>
    <pivotTable tabId="2" name="PivotTable1"/>
    <pivotTable tabId="2" name="PivotTable2"/>
  </pivotTables>
  <data>
    <tabular pivotCacheId="2010343140">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DEA618C-FCAB-46D6-860C-CEC018DF41F5}" cache="Slicer_Region" caption="Region" columnCount="8" showCaption="0"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E2A36-ED28-4513-B5B0-28CE5E8E67EA}">
  <sheetPr codeName="Sheet1">
    <pageSetUpPr fitToPage="1"/>
  </sheetPr>
  <dimension ref="A1:K27"/>
  <sheetViews>
    <sheetView showGridLines="0" showRowColHeaders="0" tabSelected="1" zoomScale="115" zoomScaleNormal="115" workbookViewId="0">
      <selection activeCell="D25" sqref="D25"/>
    </sheetView>
  </sheetViews>
  <sheetFormatPr defaultRowHeight="14.4" x14ac:dyDescent="0.3"/>
  <cols>
    <col min="1" max="1" width="24.21875" customWidth="1"/>
    <col min="2" max="2" width="13.77734375" customWidth="1"/>
    <col min="3" max="3" width="1.21875" customWidth="1"/>
    <col min="4" max="4" width="24.21875" customWidth="1"/>
    <col min="5" max="5" width="15.33203125" customWidth="1"/>
    <col min="6" max="6" width="1.6640625" customWidth="1"/>
    <col min="7" max="7" width="24.109375" customWidth="1"/>
    <col min="8" max="8" width="14" customWidth="1"/>
    <col min="9" max="9" width="1.88671875" customWidth="1"/>
    <col min="10" max="10" width="24.33203125" customWidth="1"/>
    <col min="11" max="11" width="33.6640625" customWidth="1"/>
    <col min="12" max="147" width="20.109375" bestFit="1" customWidth="1"/>
    <col min="148" max="148" width="10.77734375" bestFit="1" customWidth="1"/>
  </cols>
  <sheetData>
    <row r="1" spans="1:11" ht="28.2" customHeight="1" x14ac:dyDescent="0.3">
      <c r="A1" s="15" t="b">
        <v>1</v>
      </c>
      <c r="B1" s="15"/>
      <c r="C1" s="15"/>
      <c r="D1" s="15" t="b">
        <v>1</v>
      </c>
      <c r="E1" s="15"/>
      <c r="F1" s="15"/>
      <c r="G1" s="15" t="b">
        <v>0</v>
      </c>
      <c r="H1" s="15"/>
      <c r="I1" s="15"/>
      <c r="J1" s="15" t="b">
        <v>1</v>
      </c>
      <c r="K1" s="15"/>
    </row>
    <row r="2" spans="1:11" ht="49.2" customHeight="1" x14ac:dyDescent="0.3">
      <c r="A2" s="15"/>
      <c r="B2" s="15"/>
      <c r="C2" s="15"/>
      <c r="D2" s="15"/>
      <c r="E2" s="15"/>
      <c r="F2" s="15"/>
      <c r="G2" s="15"/>
      <c r="H2" s="15"/>
      <c r="I2" s="15"/>
      <c r="J2" s="15"/>
      <c r="K2" s="15"/>
    </row>
    <row r="3" spans="1:11" x14ac:dyDescent="0.3">
      <c r="A3" s="9" t="s">
        <v>1</v>
      </c>
      <c r="B3" t="s">
        <v>309</v>
      </c>
      <c r="D3" s="12" t="s">
        <v>1</v>
      </c>
      <c r="E3" s="13" t="s">
        <v>309</v>
      </c>
      <c r="G3" s="9" t="s">
        <v>1</v>
      </c>
      <c r="H3" t="s">
        <v>314</v>
      </c>
      <c r="J3" s="9" t="s">
        <v>308</v>
      </c>
      <c r="K3" t="s">
        <v>315</v>
      </c>
    </row>
    <row r="4" spans="1:11" x14ac:dyDescent="0.3">
      <c r="A4" s="10" t="s">
        <v>291</v>
      </c>
      <c r="B4" s="25">
        <v>316</v>
      </c>
      <c r="D4" s="14" t="s">
        <v>275</v>
      </c>
      <c r="E4" s="13">
        <v>183</v>
      </c>
      <c r="G4" s="10" t="s">
        <v>295</v>
      </c>
      <c r="H4" s="11">
        <v>0.76400000000000001</v>
      </c>
      <c r="J4" s="10" t="s">
        <v>275</v>
      </c>
      <c r="K4" s="11">
        <v>0.63400000000000001</v>
      </c>
    </row>
    <row r="5" spans="1:11" x14ac:dyDescent="0.3">
      <c r="A5" s="10" t="s">
        <v>259</v>
      </c>
      <c r="B5" s="25">
        <v>316</v>
      </c>
      <c r="D5" s="14" t="s">
        <v>163</v>
      </c>
      <c r="E5" s="13">
        <v>208</v>
      </c>
      <c r="G5" s="10" t="s">
        <v>19</v>
      </c>
      <c r="H5" s="11">
        <v>0.75800000000000001</v>
      </c>
      <c r="J5" s="10" t="s">
        <v>163</v>
      </c>
      <c r="K5" s="11">
        <v>0.58400000000000007</v>
      </c>
    </row>
    <row r="6" spans="1:11" x14ac:dyDescent="0.3">
      <c r="A6" s="10" t="s">
        <v>243</v>
      </c>
      <c r="B6" s="25">
        <v>389</v>
      </c>
      <c r="D6" s="14" t="s">
        <v>131</v>
      </c>
      <c r="E6" s="13">
        <v>192</v>
      </c>
      <c r="G6" s="10" t="s">
        <v>243</v>
      </c>
      <c r="H6" s="11">
        <v>0.77800000000000002</v>
      </c>
      <c r="J6" s="10" t="s">
        <v>131</v>
      </c>
      <c r="K6" s="11">
        <v>0.61599999999999999</v>
      </c>
    </row>
    <row r="7" spans="1:11" x14ac:dyDescent="0.3">
      <c r="A7" s="10" t="s">
        <v>179</v>
      </c>
      <c r="B7" s="25">
        <v>317</v>
      </c>
      <c r="D7" s="14" t="s">
        <v>67</v>
      </c>
      <c r="E7" s="13">
        <v>183</v>
      </c>
      <c r="G7" s="10" t="s">
        <v>187</v>
      </c>
      <c r="H7" s="11">
        <v>0.76800000000000002</v>
      </c>
      <c r="J7" s="10" t="s">
        <v>67</v>
      </c>
      <c r="K7" s="11">
        <v>0.63400000000000001</v>
      </c>
    </row>
    <row r="8" spans="1:11" x14ac:dyDescent="0.3">
      <c r="A8" s="10" t="s">
        <v>147</v>
      </c>
      <c r="B8" s="25">
        <v>385</v>
      </c>
      <c r="D8" s="14" t="s">
        <v>51</v>
      </c>
      <c r="E8" s="13">
        <v>199</v>
      </c>
      <c r="G8" s="10" t="s">
        <v>147</v>
      </c>
      <c r="H8" s="11">
        <v>0.77</v>
      </c>
      <c r="J8" s="10" t="s">
        <v>51</v>
      </c>
      <c r="K8" s="11">
        <v>0.60199999999999998</v>
      </c>
    </row>
    <row r="9" spans="1:11" x14ac:dyDescent="0.3">
      <c r="A9" s="10" t="s">
        <v>307</v>
      </c>
      <c r="B9" s="25">
        <v>1723</v>
      </c>
      <c r="D9" s="14" t="s">
        <v>307</v>
      </c>
      <c r="E9" s="13">
        <v>965</v>
      </c>
      <c r="G9" s="10" t="s">
        <v>307</v>
      </c>
      <c r="H9" s="11">
        <v>3.8379999999999996</v>
      </c>
      <c r="J9" s="10" t="s">
        <v>307</v>
      </c>
      <c r="K9" s="11">
        <v>3.07</v>
      </c>
    </row>
    <row r="10" spans="1:11" x14ac:dyDescent="0.3">
      <c r="A10" s="15"/>
      <c r="B10" s="15"/>
      <c r="C10" s="15"/>
      <c r="D10" s="15"/>
      <c r="E10" s="15"/>
      <c r="F10" s="15"/>
      <c r="G10" s="15"/>
      <c r="H10" s="15"/>
      <c r="I10" s="15"/>
      <c r="J10" s="15"/>
      <c r="K10" s="15"/>
    </row>
    <row r="11" spans="1:11" x14ac:dyDescent="0.3">
      <c r="A11" s="15"/>
      <c r="B11" s="15"/>
      <c r="C11" s="15"/>
      <c r="D11" s="15"/>
      <c r="E11" s="15"/>
      <c r="F11" s="15"/>
      <c r="G11" s="15"/>
      <c r="H11" s="15"/>
      <c r="I11" s="15"/>
      <c r="J11" s="15"/>
      <c r="K11" s="15"/>
    </row>
    <row r="12" spans="1:11" x14ac:dyDescent="0.3">
      <c r="A12" s="15"/>
      <c r="B12" s="15"/>
      <c r="C12" s="15"/>
      <c r="D12" s="15"/>
      <c r="E12" s="15"/>
      <c r="F12" s="15"/>
      <c r="G12" s="15"/>
      <c r="H12" s="15"/>
      <c r="I12" s="15"/>
      <c r="J12" s="15"/>
      <c r="K12" s="15"/>
    </row>
    <row r="13" spans="1:11" x14ac:dyDescent="0.3">
      <c r="A13" s="15"/>
      <c r="B13" s="15"/>
      <c r="C13" s="15"/>
      <c r="D13" s="15"/>
      <c r="E13" s="15"/>
      <c r="F13" s="15"/>
      <c r="G13" s="15"/>
      <c r="H13" s="15"/>
      <c r="I13" s="15"/>
      <c r="J13" s="15"/>
      <c r="K13" s="15"/>
    </row>
    <row r="14" spans="1:11" x14ac:dyDescent="0.3">
      <c r="A14" s="15"/>
      <c r="B14" s="15"/>
      <c r="C14" s="15"/>
      <c r="D14" s="15"/>
      <c r="E14" s="15"/>
      <c r="F14" s="15"/>
      <c r="G14" s="15"/>
      <c r="H14" s="15"/>
      <c r="I14" s="15"/>
      <c r="J14" s="15"/>
      <c r="K14" s="15"/>
    </row>
    <row r="15" spans="1:11" x14ac:dyDescent="0.3">
      <c r="A15" s="15"/>
      <c r="B15" s="15"/>
      <c r="C15" s="15"/>
      <c r="D15" s="15"/>
      <c r="E15" s="15"/>
      <c r="F15" s="15"/>
      <c r="G15" s="15"/>
      <c r="H15" s="15"/>
      <c r="I15" s="15"/>
      <c r="J15" s="15"/>
      <c r="K15" s="15"/>
    </row>
    <row r="16" spans="1:11" x14ac:dyDescent="0.3">
      <c r="A16" s="15"/>
      <c r="B16" s="15"/>
      <c r="C16" s="15"/>
      <c r="D16" s="15"/>
      <c r="E16" s="15"/>
      <c r="F16" s="15"/>
      <c r="G16" s="15"/>
      <c r="H16" s="15"/>
      <c r="I16" s="15"/>
      <c r="J16" s="15"/>
      <c r="K16" s="15"/>
    </row>
    <row r="17" spans="1:11" x14ac:dyDescent="0.3">
      <c r="A17" s="15"/>
      <c r="B17" s="15"/>
      <c r="C17" s="15"/>
      <c r="D17" s="15"/>
      <c r="E17" s="15"/>
      <c r="F17" s="15"/>
      <c r="G17" s="15"/>
      <c r="H17" s="15"/>
      <c r="I17" s="15"/>
      <c r="J17" s="15"/>
      <c r="K17" s="15"/>
    </row>
    <row r="18" spans="1:11" x14ac:dyDescent="0.3">
      <c r="A18" s="15"/>
      <c r="B18" s="15"/>
      <c r="C18" s="15"/>
      <c r="D18" s="15"/>
      <c r="E18" s="15"/>
      <c r="F18" s="15"/>
      <c r="G18" s="15"/>
      <c r="H18" s="15"/>
      <c r="I18" s="15"/>
      <c r="J18" s="15"/>
      <c r="K18" s="15"/>
    </row>
    <row r="19" spans="1:11" x14ac:dyDescent="0.3">
      <c r="A19" s="15"/>
      <c r="B19" s="15"/>
      <c r="C19" s="15"/>
      <c r="D19" s="15"/>
      <c r="E19" s="15"/>
      <c r="F19" s="15"/>
      <c r="G19" s="15"/>
      <c r="H19" s="15"/>
      <c r="I19" s="15"/>
      <c r="J19" s="15"/>
      <c r="K19" s="15"/>
    </row>
    <row r="20" spans="1:11" x14ac:dyDescent="0.3">
      <c r="A20" s="15"/>
      <c r="B20" s="15"/>
      <c r="C20" s="15"/>
      <c r="D20" s="15"/>
      <c r="E20" s="15"/>
      <c r="F20" s="15"/>
      <c r="G20" s="15"/>
      <c r="H20" s="15"/>
      <c r="I20" s="15"/>
      <c r="J20" s="15"/>
      <c r="K20" s="15"/>
    </row>
    <row r="21" spans="1:11" x14ac:dyDescent="0.3">
      <c r="A21" s="15"/>
      <c r="B21" s="15"/>
      <c r="C21" s="15"/>
      <c r="D21" s="15"/>
      <c r="E21" s="15"/>
      <c r="F21" s="15"/>
      <c r="G21" s="15"/>
      <c r="H21" s="15"/>
      <c r="I21" s="15"/>
      <c r="J21" s="15"/>
      <c r="K21" s="15"/>
    </row>
    <row r="22" spans="1:11" x14ac:dyDescent="0.3">
      <c r="A22" s="15"/>
      <c r="B22" s="15"/>
      <c r="C22" s="15"/>
      <c r="D22" s="15"/>
      <c r="E22" s="15"/>
      <c r="F22" s="15"/>
      <c r="G22" s="15"/>
      <c r="H22" s="15"/>
      <c r="I22" s="15"/>
      <c r="J22" s="15"/>
      <c r="K22" s="15"/>
    </row>
    <row r="23" spans="1:11" x14ac:dyDescent="0.3">
      <c r="A23" s="15"/>
      <c r="B23" s="15"/>
      <c r="C23" s="15"/>
      <c r="D23" s="15"/>
      <c r="E23" s="15"/>
      <c r="F23" s="15"/>
      <c r="G23" s="15"/>
      <c r="H23" s="15"/>
      <c r="I23" s="15"/>
      <c r="J23" s="15"/>
      <c r="K23" s="15"/>
    </row>
    <row r="24" spans="1:11" x14ac:dyDescent="0.3">
      <c r="A24" s="15"/>
      <c r="B24" s="15"/>
      <c r="C24" s="15"/>
      <c r="D24" s="15"/>
      <c r="E24" s="15"/>
      <c r="F24" s="15"/>
      <c r="G24" s="15"/>
      <c r="H24" s="15"/>
      <c r="I24" s="15"/>
      <c r="J24" s="15"/>
      <c r="K24" s="15"/>
    </row>
    <row r="25" spans="1:11" x14ac:dyDescent="0.3">
      <c r="A25" s="15"/>
      <c r="B25" s="15"/>
      <c r="C25" s="15"/>
      <c r="D25" s="15"/>
      <c r="E25" s="15"/>
      <c r="F25" s="15"/>
      <c r="G25" s="15"/>
      <c r="H25" s="15"/>
      <c r="I25" s="15"/>
      <c r="J25" s="15"/>
      <c r="K25" s="15"/>
    </row>
    <row r="26" spans="1:11" x14ac:dyDescent="0.3">
      <c r="A26" s="15"/>
      <c r="B26" s="15"/>
      <c r="C26" s="15"/>
      <c r="D26" s="15"/>
      <c r="E26" s="15"/>
      <c r="F26" s="15"/>
      <c r="G26" s="15"/>
      <c r="H26" s="15"/>
      <c r="I26" s="15"/>
      <c r="J26" s="15"/>
      <c r="K26" s="15"/>
    </row>
    <row r="27" spans="1:11" x14ac:dyDescent="0.3">
      <c r="A27" s="15"/>
      <c r="B27" s="15"/>
      <c r="C27" s="15"/>
      <c r="D27" s="15"/>
      <c r="E27" s="15"/>
      <c r="F27" s="15"/>
      <c r="G27" s="15"/>
      <c r="H27" s="15"/>
      <c r="I27" s="15"/>
      <c r="J27" s="15"/>
      <c r="K27" s="15"/>
    </row>
  </sheetData>
  <pageMargins left="0.7" right="0.7" top="0.75" bottom="0.75" header="0.3" footer="0.3"/>
  <pageSetup paperSize="3" fitToWidth="0" fitToHeight="2"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1029" r:id="rId8" name="Check Box 5">
              <controlPr defaultSize="0" autoFill="0" autoLine="0" autoPict="0" macro="[0]!SlicerCon">
                <anchor moveWithCells="1">
                  <from>
                    <xdr:col>3</xdr:col>
                    <xdr:colOff>160020</xdr:colOff>
                    <xdr:row>1</xdr:row>
                    <xdr:rowOff>190500</xdr:rowOff>
                  </from>
                  <to>
                    <xdr:col>4</xdr:col>
                    <xdr:colOff>167640</xdr:colOff>
                    <xdr:row>1</xdr:row>
                    <xdr:rowOff>541020</xdr:rowOff>
                  </to>
                </anchor>
              </controlPr>
            </control>
          </mc:Choice>
        </mc:AlternateContent>
        <mc:AlternateContent xmlns:mc="http://schemas.openxmlformats.org/markup-compatibility/2006">
          <mc:Choice Requires="x14">
            <control shapeId="1031" r:id="rId9" name="Check Box 7">
              <controlPr defaultSize="0" autoFill="0" autoLine="0" autoPict="0" macro="[0]!SlicerCon">
                <anchor moveWithCells="1">
                  <from>
                    <xdr:col>0</xdr:col>
                    <xdr:colOff>190500</xdr:colOff>
                    <xdr:row>1</xdr:row>
                    <xdr:rowOff>220980</xdr:rowOff>
                  </from>
                  <to>
                    <xdr:col>1</xdr:col>
                    <xdr:colOff>198120</xdr:colOff>
                    <xdr:row>1</xdr:row>
                    <xdr:rowOff>571500</xdr:rowOff>
                  </to>
                </anchor>
              </controlPr>
            </control>
          </mc:Choice>
        </mc:AlternateContent>
        <mc:AlternateContent xmlns:mc="http://schemas.openxmlformats.org/markup-compatibility/2006">
          <mc:Choice Requires="x14">
            <control shapeId="1032" r:id="rId10" name="Check Box 8">
              <controlPr defaultSize="0" autoFill="0" autoLine="0" autoPict="0" macro="[0]!SlicerCon">
                <anchor moveWithCells="1">
                  <from>
                    <xdr:col>6</xdr:col>
                    <xdr:colOff>350520</xdr:colOff>
                    <xdr:row>1</xdr:row>
                    <xdr:rowOff>220980</xdr:rowOff>
                  </from>
                  <to>
                    <xdr:col>7</xdr:col>
                    <xdr:colOff>365760</xdr:colOff>
                    <xdr:row>1</xdr:row>
                    <xdr:rowOff>571500</xdr:rowOff>
                  </to>
                </anchor>
              </controlPr>
            </control>
          </mc:Choice>
        </mc:AlternateContent>
        <mc:AlternateContent xmlns:mc="http://schemas.openxmlformats.org/markup-compatibility/2006">
          <mc:Choice Requires="x14">
            <control shapeId="1033" r:id="rId11" name="Check Box 9">
              <controlPr defaultSize="0" autoFill="0" autoLine="0" autoPict="0" macro="[0]!SlicerCon">
                <anchor moveWithCells="1">
                  <from>
                    <xdr:col>10</xdr:col>
                    <xdr:colOff>137160</xdr:colOff>
                    <xdr:row>1</xdr:row>
                    <xdr:rowOff>213360</xdr:rowOff>
                  </from>
                  <to>
                    <xdr:col>10</xdr:col>
                    <xdr:colOff>1813560</xdr:colOff>
                    <xdr:row>1</xdr:row>
                    <xdr:rowOff>563880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142"/>
  <sheetViews>
    <sheetView showFormulas="1" topLeftCell="O1" zoomScale="145" zoomScaleNormal="145" workbookViewId="0">
      <selection activeCell="Q8" sqref="Q8"/>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8" x14ac:dyDescent="0.3">
      <c r="A1" s="1" t="s">
        <v>0</v>
      </c>
      <c r="B1" s="1" t="s">
        <v>1</v>
      </c>
      <c r="C1" s="1" t="s">
        <v>2</v>
      </c>
      <c r="D1" s="1" t="s">
        <v>3</v>
      </c>
      <c r="E1" s="1" t="s">
        <v>4</v>
      </c>
      <c r="F1" s="1" t="s">
        <v>5</v>
      </c>
      <c r="G1" s="1" t="s">
        <v>6</v>
      </c>
      <c r="H1" s="1" t="s">
        <v>7</v>
      </c>
      <c r="I1" s="1" t="s">
        <v>8</v>
      </c>
      <c r="J1" s="1" t="s">
        <v>9</v>
      </c>
      <c r="K1" s="1" t="s">
        <v>10</v>
      </c>
      <c r="L1" s="1" t="s">
        <v>11</v>
      </c>
    </row>
    <row r="2" spans="1:18"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8" x14ac:dyDescent="0.3">
      <c r="A3" s="2" t="s">
        <v>15</v>
      </c>
      <c r="B3" s="3" t="s">
        <v>16</v>
      </c>
      <c r="C3" s="3" t="s">
        <v>17</v>
      </c>
      <c r="D3" s="4">
        <v>44</v>
      </c>
      <c r="E3" s="4">
        <v>85</v>
      </c>
      <c r="F3" s="4">
        <v>47</v>
      </c>
      <c r="G3" s="4">
        <v>15</v>
      </c>
      <c r="H3" s="4">
        <v>48</v>
      </c>
      <c r="I3" s="5">
        <f>SUM(D3:H3)</f>
        <v>239</v>
      </c>
      <c r="J3" s="5">
        <v>500</v>
      </c>
      <c r="K3" s="6">
        <f t="shared" ref="K3:K66" si="0">I3/J3</f>
        <v>0.47799999999999998</v>
      </c>
      <c r="L3" s="7">
        <f t="shared" ref="L3:L66" si="1">100%-K3</f>
        <v>0.52200000000000002</v>
      </c>
    </row>
    <row r="4" spans="1:18" x14ac:dyDescent="0.3">
      <c r="A4" s="2" t="s">
        <v>18</v>
      </c>
      <c r="B4" s="3" t="s">
        <v>19</v>
      </c>
      <c r="C4" s="3" t="s">
        <v>20</v>
      </c>
      <c r="D4" s="4">
        <v>45</v>
      </c>
      <c r="E4" s="4">
        <v>79</v>
      </c>
      <c r="F4" s="4">
        <v>88</v>
      </c>
      <c r="G4" s="4">
        <v>73</v>
      </c>
      <c r="H4" s="4">
        <v>94</v>
      </c>
      <c r="I4" s="5">
        <f t="shared" ref="I4:I66" si="2">SUM(D4:H4)</f>
        <v>379</v>
      </c>
      <c r="J4" s="5">
        <v>500</v>
      </c>
      <c r="K4" s="6">
        <f t="shared" si="0"/>
        <v>0.75800000000000001</v>
      </c>
      <c r="L4" s="7">
        <f t="shared" si="1"/>
        <v>0.24199999999999999</v>
      </c>
    </row>
    <row r="5" spans="1:18" x14ac:dyDescent="0.3">
      <c r="A5" s="2" t="s">
        <v>21</v>
      </c>
      <c r="B5" s="3" t="s">
        <v>22</v>
      </c>
      <c r="C5" s="3" t="s">
        <v>23</v>
      </c>
      <c r="D5" s="4">
        <v>52</v>
      </c>
      <c r="E5" s="4">
        <v>99</v>
      </c>
      <c r="F5" s="4">
        <v>13</v>
      </c>
      <c r="G5" s="4">
        <v>95</v>
      </c>
      <c r="H5" s="4">
        <v>29</v>
      </c>
      <c r="I5" s="5">
        <f t="shared" si="2"/>
        <v>288</v>
      </c>
      <c r="J5" s="5">
        <v>500</v>
      </c>
      <c r="K5" s="6">
        <f t="shared" si="0"/>
        <v>0.57599999999999996</v>
      </c>
      <c r="L5" s="7">
        <f t="shared" si="1"/>
        <v>0.42400000000000004</v>
      </c>
    </row>
    <row r="6" spans="1:18" x14ac:dyDescent="0.3">
      <c r="A6" s="2" t="s">
        <v>24</v>
      </c>
      <c r="B6" s="3" t="s">
        <v>25</v>
      </c>
      <c r="C6" s="3" t="s">
        <v>26</v>
      </c>
      <c r="D6" s="4">
        <v>35</v>
      </c>
      <c r="E6" s="4">
        <v>54</v>
      </c>
      <c r="F6" s="4">
        <v>49</v>
      </c>
      <c r="G6" s="4">
        <v>26</v>
      </c>
      <c r="H6" s="4">
        <v>49</v>
      </c>
      <c r="I6" s="5">
        <f t="shared" si="2"/>
        <v>213</v>
      </c>
      <c r="J6" s="5">
        <v>500</v>
      </c>
      <c r="K6" s="6">
        <f t="shared" si="0"/>
        <v>0.42599999999999999</v>
      </c>
      <c r="L6" s="7">
        <f t="shared" si="1"/>
        <v>0.57400000000000007</v>
      </c>
    </row>
    <row r="7" spans="1:18" x14ac:dyDescent="0.3">
      <c r="A7" s="2" t="s">
        <v>27</v>
      </c>
      <c r="B7" s="3" t="s">
        <v>28</v>
      </c>
      <c r="C7" s="3" t="s">
        <v>29</v>
      </c>
      <c r="D7" s="4">
        <v>86</v>
      </c>
      <c r="E7" s="4">
        <v>31</v>
      </c>
      <c r="F7" s="4">
        <v>23</v>
      </c>
      <c r="G7" s="4">
        <v>48</v>
      </c>
      <c r="H7" s="4">
        <v>77</v>
      </c>
      <c r="I7" s="5">
        <f t="shared" si="2"/>
        <v>265</v>
      </c>
      <c r="J7" s="5">
        <v>500</v>
      </c>
      <c r="K7" s="6">
        <f t="shared" si="0"/>
        <v>0.53</v>
      </c>
      <c r="L7" s="7">
        <f t="shared" si="1"/>
        <v>0.47</v>
      </c>
    </row>
    <row r="8" spans="1:18" x14ac:dyDescent="0.3">
      <c r="A8" s="2" t="s">
        <v>30</v>
      </c>
      <c r="B8" s="3" t="s">
        <v>31</v>
      </c>
      <c r="C8" s="3" t="s">
        <v>32</v>
      </c>
      <c r="D8" s="4">
        <v>84</v>
      </c>
      <c r="E8" s="4">
        <v>28</v>
      </c>
      <c r="F8" s="4">
        <v>98</v>
      </c>
      <c r="G8" s="4">
        <v>80</v>
      </c>
      <c r="H8" s="4">
        <v>79</v>
      </c>
      <c r="I8" s="5">
        <f t="shared" si="2"/>
        <v>369</v>
      </c>
      <c r="J8" s="5">
        <v>500</v>
      </c>
      <c r="K8" s="6">
        <f t="shared" si="0"/>
        <v>0.73799999999999999</v>
      </c>
      <c r="L8" s="7">
        <f t="shared" si="1"/>
        <v>0.26200000000000001</v>
      </c>
    </row>
    <row r="9" spans="1:18" x14ac:dyDescent="0.3">
      <c r="A9" s="2" t="s">
        <v>33</v>
      </c>
      <c r="B9" s="3" t="s">
        <v>34</v>
      </c>
      <c r="C9" s="3" t="s">
        <v>35</v>
      </c>
      <c r="D9" s="4">
        <v>73</v>
      </c>
      <c r="E9" s="4">
        <v>97</v>
      </c>
      <c r="F9" s="4">
        <v>38</v>
      </c>
      <c r="G9" s="4">
        <v>24</v>
      </c>
      <c r="H9" s="4">
        <v>53</v>
      </c>
      <c r="I9" s="5">
        <f t="shared" si="2"/>
        <v>285</v>
      </c>
      <c r="J9" s="5">
        <v>500</v>
      </c>
      <c r="K9" s="6">
        <f t="shared" si="0"/>
        <v>0.56999999999999995</v>
      </c>
      <c r="L9" s="7">
        <f t="shared" si="1"/>
        <v>0.43000000000000005</v>
      </c>
    </row>
    <row r="10" spans="1:18" x14ac:dyDescent="0.3">
      <c r="A10" s="2" t="s">
        <v>36</v>
      </c>
      <c r="B10" s="3" t="s">
        <v>37</v>
      </c>
      <c r="C10" s="3" t="s">
        <v>14</v>
      </c>
      <c r="D10" s="4">
        <v>54</v>
      </c>
      <c r="E10" s="4">
        <v>26</v>
      </c>
      <c r="F10" s="4">
        <v>53</v>
      </c>
      <c r="G10" s="4">
        <v>36</v>
      </c>
      <c r="H10" s="4">
        <v>20</v>
      </c>
      <c r="I10" s="5">
        <f t="shared" si="2"/>
        <v>189</v>
      </c>
      <c r="J10" s="5">
        <v>500</v>
      </c>
      <c r="K10" s="6">
        <f t="shared" si="0"/>
        <v>0.378</v>
      </c>
      <c r="L10" s="7">
        <f t="shared" si="1"/>
        <v>0.622</v>
      </c>
    </row>
    <row r="11" spans="1:18" x14ac:dyDescent="0.3">
      <c r="A11" s="2" t="s">
        <v>38</v>
      </c>
      <c r="B11" s="3" t="s">
        <v>39</v>
      </c>
      <c r="C11" s="3" t="s">
        <v>17</v>
      </c>
      <c r="D11" s="4">
        <v>52</v>
      </c>
      <c r="E11" s="4">
        <v>52</v>
      </c>
      <c r="F11" s="4">
        <v>19</v>
      </c>
      <c r="G11" s="4">
        <v>53</v>
      </c>
      <c r="H11" s="4">
        <v>37</v>
      </c>
      <c r="I11" s="5">
        <f t="shared" si="2"/>
        <v>213</v>
      </c>
      <c r="J11" s="5">
        <v>500</v>
      </c>
      <c r="K11" s="6">
        <f t="shared" si="0"/>
        <v>0.42599999999999999</v>
      </c>
      <c r="L11" s="7">
        <f t="shared" si="1"/>
        <v>0.57400000000000007</v>
      </c>
      <c r="O11" s="20" t="s">
        <v>306</v>
      </c>
      <c r="P11" s="20"/>
      <c r="Q11" s="20"/>
      <c r="R11" s="20"/>
    </row>
    <row r="12" spans="1:18" x14ac:dyDescent="0.3">
      <c r="A12" s="2" t="s">
        <v>40</v>
      </c>
      <c r="B12" s="3" t="s">
        <v>41</v>
      </c>
      <c r="C12" s="3" t="s">
        <v>20</v>
      </c>
      <c r="D12" s="4">
        <v>63</v>
      </c>
      <c r="E12" s="4">
        <v>17</v>
      </c>
      <c r="F12" s="4">
        <v>40</v>
      </c>
      <c r="G12" s="4">
        <v>48</v>
      </c>
      <c r="H12" s="4">
        <v>51</v>
      </c>
      <c r="I12" s="5">
        <f t="shared" si="2"/>
        <v>219</v>
      </c>
      <c r="J12" s="5">
        <v>500</v>
      </c>
      <c r="K12" s="6">
        <f t="shared" si="0"/>
        <v>0.438</v>
      </c>
      <c r="L12" s="7">
        <f t="shared" si="1"/>
        <v>0.56200000000000006</v>
      </c>
      <c r="O12" s="21" t="s">
        <v>302</v>
      </c>
      <c r="P12" s="21"/>
      <c r="Q12" s="21"/>
      <c r="R12" s="21"/>
    </row>
    <row r="13" spans="1:18" x14ac:dyDescent="0.3">
      <c r="A13" s="2" t="s">
        <v>42</v>
      </c>
      <c r="B13" s="3" t="s">
        <v>43</v>
      </c>
      <c r="C13" s="3" t="s">
        <v>23</v>
      </c>
      <c r="D13" s="4">
        <v>79</v>
      </c>
      <c r="E13" s="4">
        <v>99</v>
      </c>
      <c r="F13" s="4">
        <v>95</v>
      </c>
      <c r="G13" s="4">
        <v>12</v>
      </c>
      <c r="H13" s="4">
        <v>91</v>
      </c>
      <c r="I13" s="5">
        <f t="shared" si="2"/>
        <v>376</v>
      </c>
      <c r="J13" s="5">
        <v>500</v>
      </c>
      <c r="K13" s="6">
        <f t="shared" si="0"/>
        <v>0.752</v>
      </c>
      <c r="L13" s="7">
        <f t="shared" si="1"/>
        <v>0.248</v>
      </c>
      <c r="O13" s="21" t="s">
        <v>303</v>
      </c>
      <c r="P13" s="21"/>
      <c r="Q13" s="21"/>
      <c r="R13" s="21"/>
    </row>
    <row r="14" spans="1:18" x14ac:dyDescent="0.3">
      <c r="A14" s="2" t="s">
        <v>44</v>
      </c>
      <c r="B14" s="3" t="s">
        <v>45</v>
      </c>
      <c r="C14" s="3" t="s">
        <v>26</v>
      </c>
      <c r="D14" s="8">
        <v>95</v>
      </c>
      <c r="E14" s="4">
        <v>88</v>
      </c>
      <c r="F14" s="4">
        <v>11</v>
      </c>
      <c r="G14" s="4">
        <v>78</v>
      </c>
      <c r="H14" s="4">
        <v>60</v>
      </c>
      <c r="I14" s="5">
        <f t="shared" si="2"/>
        <v>332</v>
      </c>
      <c r="J14" s="5">
        <v>500</v>
      </c>
      <c r="K14" s="6">
        <f t="shared" si="0"/>
        <v>0.66400000000000003</v>
      </c>
      <c r="L14" s="7">
        <f t="shared" si="1"/>
        <v>0.33599999999999997</v>
      </c>
      <c r="O14" s="21" t="s">
        <v>304</v>
      </c>
      <c r="P14" s="21"/>
      <c r="Q14" s="21"/>
      <c r="R14" s="21"/>
    </row>
    <row r="15" spans="1:18" x14ac:dyDescent="0.3">
      <c r="A15" s="2" t="s">
        <v>46</v>
      </c>
      <c r="B15" s="3" t="s">
        <v>47</v>
      </c>
      <c r="C15" s="3" t="s">
        <v>29</v>
      </c>
      <c r="D15" s="4">
        <v>83</v>
      </c>
      <c r="E15" s="4">
        <v>77</v>
      </c>
      <c r="F15" s="4">
        <v>66</v>
      </c>
      <c r="G15" s="4">
        <v>22</v>
      </c>
      <c r="H15" s="4">
        <v>40</v>
      </c>
      <c r="I15" s="5">
        <f t="shared" si="2"/>
        <v>288</v>
      </c>
      <c r="J15" s="5">
        <v>500</v>
      </c>
      <c r="K15" s="6">
        <f t="shared" si="0"/>
        <v>0.57599999999999996</v>
      </c>
      <c r="L15" s="7">
        <f t="shared" si="1"/>
        <v>0.42400000000000004</v>
      </c>
      <c r="O15" s="21" t="s">
        <v>305</v>
      </c>
      <c r="P15" s="21"/>
      <c r="Q15" s="21"/>
      <c r="R15" s="21"/>
    </row>
    <row r="16" spans="1:18" x14ac:dyDescent="0.3">
      <c r="A16" s="2" t="s">
        <v>48</v>
      </c>
      <c r="B16" s="3" t="s">
        <v>49</v>
      </c>
      <c r="C16" s="3" t="s">
        <v>32</v>
      </c>
      <c r="D16" s="4">
        <v>78</v>
      </c>
      <c r="E16" s="4">
        <v>58</v>
      </c>
      <c r="F16" s="4">
        <v>34</v>
      </c>
      <c r="G16" s="4">
        <v>84</v>
      </c>
      <c r="H16" s="4">
        <v>31</v>
      </c>
      <c r="I16" s="5">
        <f t="shared" si="2"/>
        <v>285</v>
      </c>
      <c r="J16" s="5">
        <v>500</v>
      </c>
      <c r="K16" s="6">
        <f t="shared" si="0"/>
        <v>0.56999999999999995</v>
      </c>
      <c r="L16" s="7">
        <f t="shared" si="1"/>
        <v>0.43000000000000005</v>
      </c>
    </row>
    <row r="17" spans="1:23" x14ac:dyDescent="0.3">
      <c r="A17" s="2" t="s">
        <v>50</v>
      </c>
      <c r="B17" s="3" t="s">
        <v>51</v>
      </c>
      <c r="C17" s="3" t="s">
        <v>35</v>
      </c>
      <c r="D17" s="4">
        <v>14</v>
      </c>
      <c r="E17" s="4">
        <v>25</v>
      </c>
      <c r="F17" s="4">
        <v>45</v>
      </c>
      <c r="G17" s="4">
        <v>70</v>
      </c>
      <c r="H17" s="4">
        <v>45</v>
      </c>
      <c r="I17" s="5">
        <f t="shared" si="2"/>
        <v>199</v>
      </c>
      <c r="J17" s="5">
        <v>500</v>
      </c>
      <c r="K17" s="6">
        <f t="shared" si="0"/>
        <v>0.39800000000000002</v>
      </c>
      <c r="L17" s="7">
        <f t="shared" si="1"/>
        <v>0.60199999999999998</v>
      </c>
    </row>
    <row r="18" spans="1:23" ht="11.4" customHeight="1" x14ac:dyDescent="0.3">
      <c r="A18" s="2" t="s">
        <v>52</v>
      </c>
      <c r="B18" s="3" t="s">
        <v>53</v>
      </c>
      <c r="C18" s="3" t="s">
        <v>14</v>
      </c>
      <c r="D18" s="4">
        <v>37</v>
      </c>
      <c r="E18" s="4">
        <v>69</v>
      </c>
      <c r="F18" s="4">
        <v>96</v>
      </c>
      <c r="G18" s="4">
        <v>66</v>
      </c>
      <c r="H18" s="4">
        <v>38</v>
      </c>
      <c r="I18" s="5">
        <f t="shared" si="2"/>
        <v>306</v>
      </c>
      <c r="J18" s="5">
        <v>500</v>
      </c>
      <c r="K18" s="6">
        <f t="shared" si="0"/>
        <v>0.61199999999999999</v>
      </c>
      <c r="L18" s="7">
        <f t="shared" si="1"/>
        <v>0.38800000000000001</v>
      </c>
      <c r="O18" s="23" t="s">
        <v>310</v>
      </c>
      <c r="P18" s="23"/>
      <c r="Q18" s="23"/>
      <c r="R18" s="23"/>
      <c r="S18" s="23"/>
      <c r="T18" s="23"/>
      <c r="U18" s="23"/>
      <c r="V18" s="23"/>
      <c r="W18" s="23"/>
    </row>
    <row r="19" spans="1:23" ht="25.8" customHeight="1" x14ac:dyDescent="0.3">
      <c r="A19" s="2" t="s">
        <v>54</v>
      </c>
      <c r="B19" s="3" t="s">
        <v>55</v>
      </c>
      <c r="C19" s="3" t="s">
        <v>17</v>
      </c>
      <c r="D19" s="4">
        <v>11</v>
      </c>
      <c r="E19" s="4">
        <v>46</v>
      </c>
      <c r="F19" s="4">
        <v>91</v>
      </c>
      <c r="G19" s="4">
        <v>98</v>
      </c>
      <c r="H19" s="4">
        <v>45</v>
      </c>
      <c r="I19" s="5">
        <f t="shared" si="2"/>
        <v>291</v>
      </c>
      <c r="J19" s="5">
        <v>500</v>
      </c>
      <c r="K19" s="6">
        <f t="shared" si="0"/>
        <v>0.58199999999999996</v>
      </c>
      <c r="L19" s="7">
        <f t="shared" si="1"/>
        <v>0.41800000000000004</v>
      </c>
      <c r="O19" s="22" t="s">
        <v>311</v>
      </c>
      <c r="P19" s="22"/>
      <c r="Q19" s="22"/>
      <c r="R19" s="22"/>
      <c r="S19" s="22"/>
      <c r="T19" s="22"/>
      <c r="U19" s="22"/>
      <c r="V19" s="22"/>
      <c r="W19" s="22"/>
    </row>
    <row r="20" spans="1:23" x14ac:dyDescent="0.3">
      <c r="A20" s="2" t="s">
        <v>56</v>
      </c>
      <c r="B20" s="3" t="s">
        <v>57</v>
      </c>
      <c r="C20" s="3" t="s">
        <v>20</v>
      </c>
      <c r="D20" s="4">
        <v>19</v>
      </c>
      <c r="E20" s="4">
        <v>34</v>
      </c>
      <c r="F20" s="4">
        <v>64</v>
      </c>
      <c r="G20" s="4">
        <v>65</v>
      </c>
      <c r="H20" s="4">
        <v>70</v>
      </c>
      <c r="I20" s="5">
        <f t="shared" si="2"/>
        <v>252</v>
      </c>
      <c r="J20" s="5">
        <v>500</v>
      </c>
      <c r="K20" s="6">
        <f t="shared" si="0"/>
        <v>0.504</v>
      </c>
      <c r="L20" s="7">
        <f t="shared" si="1"/>
        <v>0.496</v>
      </c>
      <c r="O20" s="18" t="s">
        <v>312</v>
      </c>
      <c r="P20" s="18"/>
      <c r="Q20" s="18"/>
      <c r="R20" s="18"/>
      <c r="S20" s="18"/>
      <c r="T20" s="18"/>
      <c r="U20" s="18"/>
      <c r="V20" s="18"/>
      <c r="W20" s="18"/>
    </row>
    <row r="21" spans="1:23" ht="31.2" customHeight="1" x14ac:dyDescent="0.3">
      <c r="A21" s="2" t="s">
        <v>58</v>
      </c>
      <c r="B21" s="3" t="s">
        <v>59</v>
      </c>
      <c r="C21" s="3" t="s">
        <v>23</v>
      </c>
      <c r="D21" s="4">
        <v>93</v>
      </c>
      <c r="E21" s="4">
        <v>84</v>
      </c>
      <c r="F21" s="4">
        <v>13</v>
      </c>
      <c r="G21" s="4">
        <v>45</v>
      </c>
      <c r="H21" s="4">
        <v>18</v>
      </c>
      <c r="I21" s="5">
        <f t="shared" si="2"/>
        <v>253</v>
      </c>
      <c r="J21" s="5">
        <v>500</v>
      </c>
      <c r="K21" s="6">
        <f t="shared" si="0"/>
        <v>0.50600000000000001</v>
      </c>
      <c r="L21" s="7">
        <f t="shared" si="1"/>
        <v>0.49399999999999999</v>
      </c>
      <c r="O21" s="24" t="s">
        <v>313</v>
      </c>
      <c r="P21" s="24"/>
      <c r="Q21" s="24"/>
      <c r="R21" s="24"/>
      <c r="S21" s="24"/>
      <c r="T21" s="24"/>
      <c r="U21" s="24"/>
      <c r="V21" s="24"/>
      <c r="W21" s="24"/>
    </row>
    <row r="22" spans="1:23" ht="14.4" customHeight="1" x14ac:dyDescent="0.3">
      <c r="A22" s="2" t="s">
        <v>60</v>
      </c>
      <c r="B22" s="3" t="s">
        <v>61</v>
      </c>
      <c r="C22" s="3" t="s">
        <v>26</v>
      </c>
      <c r="D22" s="4">
        <v>68</v>
      </c>
      <c r="E22" s="4">
        <v>73</v>
      </c>
      <c r="F22" s="4">
        <v>97</v>
      </c>
      <c r="G22" s="4">
        <v>76</v>
      </c>
      <c r="H22" s="4">
        <v>53</v>
      </c>
      <c r="I22" s="5">
        <f t="shared" si="2"/>
        <v>367</v>
      </c>
      <c r="J22" s="5">
        <v>500</v>
      </c>
      <c r="K22" s="6">
        <f t="shared" si="0"/>
        <v>0.73399999999999999</v>
      </c>
      <c r="L22" s="7">
        <f t="shared" si="1"/>
        <v>0.26600000000000001</v>
      </c>
      <c r="O22" s="17" t="s">
        <v>316</v>
      </c>
      <c r="P22" s="17"/>
      <c r="Q22" s="17"/>
      <c r="R22" s="17"/>
      <c r="S22" s="17"/>
      <c r="T22" s="17"/>
      <c r="U22" s="17"/>
      <c r="V22" s="17"/>
      <c r="W22" s="17"/>
    </row>
    <row r="23" spans="1:23" ht="15" customHeight="1" x14ac:dyDescent="0.3">
      <c r="A23" s="2" t="s">
        <v>62</v>
      </c>
      <c r="B23" s="3" t="s">
        <v>63</v>
      </c>
      <c r="C23" s="3" t="s">
        <v>29</v>
      </c>
      <c r="D23" s="4">
        <v>99</v>
      </c>
      <c r="E23" s="4">
        <v>17</v>
      </c>
      <c r="F23" s="4">
        <v>48</v>
      </c>
      <c r="G23" s="4">
        <v>44</v>
      </c>
      <c r="H23" s="4">
        <v>93</v>
      </c>
      <c r="I23" s="5">
        <f t="shared" si="2"/>
        <v>301</v>
      </c>
      <c r="J23" s="5">
        <v>500</v>
      </c>
      <c r="K23" s="6">
        <f t="shared" si="0"/>
        <v>0.60199999999999998</v>
      </c>
      <c r="L23" s="7">
        <f t="shared" si="1"/>
        <v>0.39800000000000002</v>
      </c>
      <c r="O23" s="16" t="s">
        <v>317</v>
      </c>
      <c r="P23" s="16"/>
      <c r="Q23" s="16"/>
      <c r="R23" s="16"/>
      <c r="S23" s="16"/>
      <c r="T23" s="16"/>
      <c r="U23" s="16"/>
      <c r="V23" s="16"/>
      <c r="W23" s="16"/>
    </row>
    <row r="24" spans="1:23" x14ac:dyDescent="0.3">
      <c r="A24" s="2" t="s">
        <v>64</v>
      </c>
      <c r="B24" s="3" t="s">
        <v>65</v>
      </c>
      <c r="C24" s="3" t="s">
        <v>32</v>
      </c>
      <c r="D24" s="4">
        <v>57</v>
      </c>
      <c r="E24" s="4">
        <v>28</v>
      </c>
      <c r="F24" s="4">
        <v>31</v>
      </c>
      <c r="G24" s="4">
        <v>34</v>
      </c>
      <c r="H24" s="4">
        <v>52</v>
      </c>
      <c r="I24" s="5">
        <f t="shared" si="2"/>
        <v>202</v>
      </c>
      <c r="J24" s="5">
        <v>500</v>
      </c>
      <c r="K24" s="6">
        <f t="shared" si="0"/>
        <v>0.40400000000000003</v>
      </c>
      <c r="L24" s="7">
        <f t="shared" si="1"/>
        <v>0.59599999999999997</v>
      </c>
      <c r="O24" s="17" t="s">
        <v>318</v>
      </c>
      <c r="P24" s="17"/>
      <c r="Q24" s="17"/>
      <c r="R24" s="17"/>
      <c r="S24" s="17"/>
      <c r="T24" s="17"/>
      <c r="U24" s="17"/>
      <c r="V24" s="17"/>
    </row>
    <row r="25" spans="1:23" x14ac:dyDescent="0.3">
      <c r="A25" s="2" t="s">
        <v>66</v>
      </c>
      <c r="B25" s="3" t="s">
        <v>67</v>
      </c>
      <c r="C25" s="3" t="s">
        <v>35</v>
      </c>
      <c r="D25" s="4">
        <v>40</v>
      </c>
      <c r="E25" s="4">
        <v>22</v>
      </c>
      <c r="F25" s="4">
        <v>18</v>
      </c>
      <c r="G25" s="4">
        <v>11</v>
      </c>
      <c r="H25" s="4">
        <v>92</v>
      </c>
      <c r="I25" s="5">
        <f t="shared" si="2"/>
        <v>183</v>
      </c>
      <c r="J25" s="5">
        <v>500</v>
      </c>
      <c r="K25" s="6">
        <f t="shared" si="0"/>
        <v>0.36599999999999999</v>
      </c>
      <c r="L25" s="7">
        <f t="shared" si="1"/>
        <v>0.63400000000000001</v>
      </c>
      <c r="O25" s="18" t="s">
        <v>319</v>
      </c>
      <c r="P25" s="18"/>
      <c r="Q25" s="18"/>
      <c r="R25" s="18"/>
      <c r="S25" s="18"/>
      <c r="T25" s="18"/>
      <c r="U25" s="18"/>
      <c r="V25" s="18"/>
      <c r="W25" s="18"/>
    </row>
    <row r="26" spans="1:23" x14ac:dyDescent="0.3">
      <c r="A26" s="2" t="s">
        <v>68</v>
      </c>
      <c r="B26" s="3" t="s">
        <v>69</v>
      </c>
      <c r="C26" s="3" t="s">
        <v>14</v>
      </c>
      <c r="D26" s="4">
        <v>47</v>
      </c>
      <c r="E26" s="4">
        <v>99</v>
      </c>
      <c r="F26" s="4">
        <v>94</v>
      </c>
      <c r="G26" s="4">
        <v>75</v>
      </c>
      <c r="H26" s="4">
        <v>29</v>
      </c>
      <c r="I26" s="5">
        <f t="shared" si="2"/>
        <v>344</v>
      </c>
      <c r="J26" s="5">
        <v>500</v>
      </c>
      <c r="K26" s="6">
        <f t="shared" si="0"/>
        <v>0.68799999999999994</v>
      </c>
      <c r="L26" s="7">
        <f t="shared" si="1"/>
        <v>0.31200000000000006</v>
      </c>
      <c r="O26" s="19" t="s">
        <v>320</v>
      </c>
      <c r="P26" s="19"/>
      <c r="Q26" s="19"/>
      <c r="R26" s="19"/>
      <c r="S26" s="19"/>
      <c r="T26" s="19"/>
      <c r="U26" s="19"/>
      <c r="V26" s="19"/>
    </row>
    <row r="27" spans="1:23" x14ac:dyDescent="0.3">
      <c r="A27" s="2" t="s">
        <v>70</v>
      </c>
      <c r="B27" s="3" t="s">
        <v>71</v>
      </c>
      <c r="C27" s="3" t="s">
        <v>17</v>
      </c>
      <c r="D27" s="4">
        <v>16</v>
      </c>
      <c r="E27" s="4">
        <v>71</v>
      </c>
      <c r="F27" s="4">
        <v>80</v>
      </c>
      <c r="G27" s="4">
        <v>76</v>
      </c>
      <c r="H27" s="4">
        <v>33</v>
      </c>
      <c r="I27" s="5">
        <f t="shared" si="2"/>
        <v>276</v>
      </c>
      <c r="J27" s="5">
        <v>500</v>
      </c>
      <c r="K27" s="6">
        <f t="shared" si="0"/>
        <v>0.55200000000000005</v>
      </c>
      <c r="L27" s="7">
        <f t="shared" si="1"/>
        <v>0.44799999999999995</v>
      </c>
      <c r="O27" s="18" t="s">
        <v>321</v>
      </c>
      <c r="P27" s="18"/>
      <c r="Q27" s="18"/>
      <c r="R27" s="18"/>
      <c r="S27" s="18"/>
      <c r="T27" s="18"/>
      <c r="U27" s="18"/>
      <c r="V27" s="18"/>
      <c r="W27" s="18"/>
    </row>
    <row r="28" spans="1:23" x14ac:dyDescent="0.3">
      <c r="A28" s="2" t="s">
        <v>72</v>
      </c>
      <c r="B28" s="3" t="s">
        <v>73</v>
      </c>
      <c r="C28" s="3" t="s">
        <v>20</v>
      </c>
      <c r="D28" s="4">
        <v>72</v>
      </c>
      <c r="E28" s="4">
        <v>87</v>
      </c>
      <c r="F28" s="4">
        <v>92</v>
      </c>
      <c r="G28" s="4">
        <v>72</v>
      </c>
      <c r="H28" s="4">
        <v>34</v>
      </c>
      <c r="I28" s="5">
        <f t="shared" si="2"/>
        <v>357</v>
      </c>
      <c r="J28" s="5">
        <v>500</v>
      </c>
      <c r="K28" s="6">
        <f t="shared" si="0"/>
        <v>0.71399999999999997</v>
      </c>
      <c r="L28" s="7">
        <f t="shared" si="1"/>
        <v>0.28600000000000003</v>
      </c>
    </row>
    <row r="29" spans="1:23" x14ac:dyDescent="0.3">
      <c r="A29" s="2" t="s">
        <v>74</v>
      </c>
      <c r="B29" s="3" t="s">
        <v>75</v>
      </c>
      <c r="C29" s="3" t="s">
        <v>23</v>
      </c>
      <c r="D29" s="4">
        <v>30</v>
      </c>
      <c r="E29" s="4">
        <v>38</v>
      </c>
      <c r="F29" s="4">
        <v>70</v>
      </c>
      <c r="G29" s="4">
        <v>89</v>
      </c>
      <c r="H29" s="4">
        <v>97</v>
      </c>
      <c r="I29" s="5">
        <f t="shared" si="2"/>
        <v>324</v>
      </c>
      <c r="J29" s="5">
        <v>500</v>
      </c>
      <c r="K29" s="6">
        <f t="shared" si="0"/>
        <v>0.64800000000000002</v>
      </c>
      <c r="L29" s="7">
        <f t="shared" si="1"/>
        <v>0.35199999999999998</v>
      </c>
    </row>
    <row r="30" spans="1:23" x14ac:dyDescent="0.3">
      <c r="A30" s="2" t="s">
        <v>76</v>
      </c>
      <c r="B30" s="3" t="s">
        <v>77</v>
      </c>
      <c r="C30" s="3" t="s">
        <v>26</v>
      </c>
      <c r="D30" s="4">
        <v>65</v>
      </c>
      <c r="E30" s="4">
        <v>90</v>
      </c>
      <c r="F30" s="4">
        <v>91</v>
      </c>
      <c r="G30" s="4">
        <v>85</v>
      </c>
      <c r="H30" s="4">
        <v>10</v>
      </c>
      <c r="I30" s="5">
        <f t="shared" si="2"/>
        <v>341</v>
      </c>
      <c r="J30" s="5">
        <v>500</v>
      </c>
      <c r="K30" s="6">
        <f t="shared" si="0"/>
        <v>0.68200000000000005</v>
      </c>
      <c r="L30" s="7">
        <f t="shared" si="1"/>
        <v>0.31799999999999995</v>
      </c>
    </row>
    <row r="31" spans="1:23" x14ac:dyDescent="0.3">
      <c r="A31" s="2" t="s">
        <v>78</v>
      </c>
      <c r="B31" s="3" t="s">
        <v>79</v>
      </c>
      <c r="C31" s="3" t="s">
        <v>29</v>
      </c>
      <c r="D31" s="4">
        <v>83</v>
      </c>
      <c r="E31" s="4">
        <v>46</v>
      </c>
      <c r="F31" s="4">
        <v>99</v>
      </c>
      <c r="G31" s="4">
        <v>36</v>
      </c>
      <c r="H31" s="4">
        <v>89</v>
      </c>
      <c r="I31" s="5">
        <f t="shared" si="2"/>
        <v>353</v>
      </c>
      <c r="J31" s="5">
        <v>500</v>
      </c>
      <c r="K31" s="6">
        <f t="shared" si="0"/>
        <v>0.70599999999999996</v>
      </c>
      <c r="L31" s="7">
        <f t="shared" si="1"/>
        <v>0.29400000000000004</v>
      </c>
    </row>
    <row r="32" spans="1:23" x14ac:dyDescent="0.3">
      <c r="A32" s="2" t="s">
        <v>80</v>
      </c>
      <c r="B32" s="3" t="s">
        <v>81</v>
      </c>
      <c r="C32" s="3" t="s">
        <v>32</v>
      </c>
      <c r="D32" s="4">
        <v>10</v>
      </c>
      <c r="E32" s="4">
        <v>66</v>
      </c>
      <c r="F32" s="4">
        <v>40</v>
      </c>
      <c r="G32" s="4">
        <v>22</v>
      </c>
      <c r="H32" s="4">
        <v>38</v>
      </c>
      <c r="I32" s="5">
        <f t="shared" si="2"/>
        <v>176</v>
      </c>
      <c r="J32" s="5">
        <v>500</v>
      </c>
      <c r="K32" s="6">
        <f t="shared" si="0"/>
        <v>0.35199999999999998</v>
      </c>
      <c r="L32" s="7">
        <f t="shared" si="1"/>
        <v>0.64800000000000002</v>
      </c>
    </row>
    <row r="33" spans="1:12" x14ac:dyDescent="0.3">
      <c r="A33" s="2" t="s">
        <v>82</v>
      </c>
      <c r="B33" s="3" t="s">
        <v>83</v>
      </c>
      <c r="C33" s="3" t="s">
        <v>35</v>
      </c>
      <c r="D33" s="4">
        <v>37</v>
      </c>
      <c r="E33" s="4">
        <v>30</v>
      </c>
      <c r="F33" s="4">
        <v>19</v>
      </c>
      <c r="G33" s="4">
        <v>77</v>
      </c>
      <c r="H33" s="4">
        <v>67</v>
      </c>
      <c r="I33" s="5">
        <f t="shared" si="2"/>
        <v>230</v>
      </c>
      <c r="J33" s="5">
        <v>500</v>
      </c>
      <c r="K33" s="6">
        <f t="shared" si="0"/>
        <v>0.46</v>
      </c>
      <c r="L33" s="7">
        <f t="shared" si="1"/>
        <v>0.54</v>
      </c>
    </row>
    <row r="34" spans="1:12" x14ac:dyDescent="0.3">
      <c r="A34" s="2" t="s">
        <v>84</v>
      </c>
      <c r="B34" s="3" t="s">
        <v>85</v>
      </c>
      <c r="C34" s="3" t="s">
        <v>14</v>
      </c>
      <c r="D34" s="4">
        <v>83</v>
      </c>
      <c r="E34" s="4">
        <v>46</v>
      </c>
      <c r="F34" s="4">
        <v>17</v>
      </c>
      <c r="G34" s="4">
        <v>94</v>
      </c>
      <c r="H34" s="4">
        <v>92</v>
      </c>
      <c r="I34" s="5">
        <f t="shared" si="2"/>
        <v>332</v>
      </c>
      <c r="J34" s="5">
        <v>500</v>
      </c>
      <c r="K34" s="6">
        <f t="shared" si="0"/>
        <v>0.66400000000000003</v>
      </c>
      <c r="L34" s="7">
        <f t="shared" si="1"/>
        <v>0.33599999999999997</v>
      </c>
    </row>
    <row r="35" spans="1:12" x14ac:dyDescent="0.3">
      <c r="A35" s="2" t="s">
        <v>86</v>
      </c>
      <c r="B35" s="3" t="s">
        <v>87</v>
      </c>
      <c r="C35" s="3" t="s">
        <v>17</v>
      </c>
      <c r="D35" s="4">
        <v>84</v>
      </c>
      <c r="E35" s="4">
        <v>59</v>
      </c>
      <c r="F35" s="4">
        <v>41</v>
      </c>
      <c r="G35" s="4">
        <v>17</v>
      </c>
      <c r="H35" s="4">
        <v>22</v>
      </c>
      <c r="I35" s="5">
        <f t="shared" si="2"/>
        <v>223</v>
      </c>
      <c r="J35" s="5">
        <v>500</v>
      </c>
      <c r="K35" s="6">
        <f t="shared" si="0"/>
        <v>0.44600000000000001</v>
      </c>
      <c r="L35" s="7">
        <f t="shared" si="1"/>
        <v>0.55400000000000005</v>
      </c>
    </row>
    <row r="36" spans="1:12" x14ac:dyDescent="0.3">
      <c r="A36" s="2" t="s">
        <v>88</v>
      </c>
      <c r="B36" s="3" t="s">
        <v>89</v>
      </c>
      <c r="C36" s="3" t="s">
        <v>20</v>
      </c>
      <c r="D36" s="4">
        <v>82</v>
      </c>
      <c r="E36" s="4">
        <v>54</v>
      </c>
      <c r="F36" s="4">
        <v>79</v>
      </c>
      <c r="G36" s="4">
        <v>61</v>
      </c>
      <c r="H36" s="4">
        <v>47</v>
      </c>
      <c r="I36" s="5">
        <f t="shared" si="2"/>
        <v>323</v>
      </c>
      <c r="J36" s="5">
        <v>500</v>
      </c>
      <c r="K36" s="6">
        <f t="shared" si="0"/>
        <v>0.64600000000000002</v>
      </c>
      <c r="L36" s="7">
        <f t="shared" si="1"/>
        <v>0.35399999999999998</v>
      </c>
    </row>
    <row r="37" spans="1:12" x14ac:dyDescent="0.3">
      <c r="A37" s="2" t="s">
        <v>90</v>
      </c>
      <c r="B37" s="3" t="s">
        <v>91</v>
      </c>
      <c r="C37" s="3" t="s">
        <v>23</v>
      </c>
      <c r="D37" s="4">
        <v>47</v>
      </c>
      <c r="E37" s="4">
        <v>23</v>
      </c>
      <c r="F37" s="4">
        <v>19</v>
      </c>
      <c r="G37" s="4">
        <v>64</v>
      </c>
      <c r="H37" s="4">
        <v>61</v>
      </c>
      <c r="I37" s="5">
        <f t="shared" si="2"/>
        <v>214</v>
      </c>
      <c r="J37" s="5">
        <v>500</v>
      </c>
      <c r="K37" s="6">
        <f t="shared" si="0"/>
        <v>0.42799999999999999</v>
      </c>
      <c r="L37" s="7">
        <f t="shared" si="1"/>
        <v>0.57200000000000006</v>
      </c>
    </row>
    <row r="38" spans="1:12" x14ac:dyDescent="0.3">
      <c r="A38" s="2" t="s">
        <v>92</v>
      </c>
      <c r="B38" s="3" t="s">
        <v>93</v>
      </c>
      <c r="C38" s="3" t="s">
        <v>26</v>
      </c>
      <c r="D38" s="4">
        <v>91</v>
      </c>
      <c r="E38" s="4">
        <v>13</v>
      </c>
      <c r="F38" s="4">
        <v>79</v>
      </c>
      <c r="G38" s="4">
        <v>85</v>
      </c>
      <c r="H38" s="4">
        <v>67</v>
      </c>
      <c r="I38" s="5">
        <f t="shared" si="2"/>
        <v>335</v>
      </c>
      <c r="J38" s="5">
        <v>500</v>
      </c>
      <c r="K38" s="6">
        <f t="shared" si="0"/>
        <v>0.67</v>
      </c>
      <c r="L38" s="7">
        <f t="shared" si="1"/>
        <v>0.32999999999999996</v>
      </c>
    </row>
    <row r="39" spans="1:12" x14ac:dyDescent="0.3">
      <c r="A39" s="2" t="s">
        <v>94</v>
      </c>
      <c r="B39" s="3" t="s">
        <v>95</v>
      </c>
      <c r="C39" s="3" t="s">
        <v>29</v>
      </c>
      <c r="D39" s="4">
        <v>66</v>
      </c>
      <c r="E39" s="4">
        <v>59</v>
      </c>
      <c r="F39" s="4">
        <v>25</v>
      </c>
      <c r="G39" s="4">
        <v>55</v>
      </c>
      <c r="H39" s="4">
        <v>59</v>
      </c>
      <c r="I39" s="5">
        <f t="shared" si="2"/>
        <v>264</v>
      </c>
      <c r="J39" s="5">
        <v>500</v>
      </c>
      <c r="K39" s="6">
        <f t="shared" si="0"/>
        <v>0.52800000000000002</v>
      </c>
      <c r="L39" s="7">
        <f t="shared" si="1"/>
        <v>0.47199999999999998</v>
      </c>
    </row>
    <row r="40" spans="1:12" x14ac:dyDescent="0.3">
      <c r="A40" s="2" t="s">
        <v>96</v>
      </c>
      <c r="B40" s="3" t="s">
        <v>97</v>
      </c>
      <c r="C40" s="3" t="s">
        <v>32</v>
      </c>
      <c r="D40" s="4">
        <v>70</v>
      </c>
      <c r="E40" s="4">
        <v>18</v>
      </c>
      <c r="F40" s="4">
        <v>88</v>
      </c>
      <c r="G40" s="4">
        <v>46</v>
      </c>
      <c r="H40" s="4">
        <v>52</v>
      </c>
      <c r="I40" s="5">
        <f t="shared" si="2"/>
        <v>274</v>
      </c>
      <c r="J40" s="5">
        <v>500</v>
      </c>
      <c r="K40" s="6">
        <f t="shared" si="0"/>
        <v>0.54800000000000004</v>
      </c>
      <c r="L40" s="7">
        <f t="shared" si="1"/>
        <v>0.45199999999999996</v>
      </c>
    </row>
    <row r="41" spans="1:12" x14ac:dyDescent="0.3">
      <c r="A41" s="2" t="s">
        <v>98</v>
      </c>
      <c r="B41" s="3" t="s">
        <v>99</v>
      </c>
      <c r="C41" s="3" t="s">
        <v>35</v>
      </c>
      <c r="D41" s="4">
        <v>37</v>
      </c>
      <c r="E41" s="4">
        <v>60</v>
      </c>
      <c r="F41" s="4">
        <v>44</v>
      </c>
      <c r="G41" s="4">
        <v>61</v>
      </c>
      <c r="H41" s="4">
        <v>30</v>
      </c>
      <c r="I41" s="5">
        <f t="shared" si="2"/>
        <v>232</v>
      </c>
      <c r="J41" s="5">
        <v>500</v>
      </c>
      <c r="K41" s="6">
        <f t="shared" si="0"/>
        <v>0.46400000000000002</v>
      </c>
      <c r="L41" s="7">
        <f t="shared" si="1"/>
        <v>0.53600000000000003</v>
      </c>
    </row>
    <row r="42" spans="1:12" x14ac:dyDescent="0.3">
      <c r="A42" s="2" t="s">
        <v>100</v>
      </c>
      <c r="B42" s="3" t="s">
        <v>101</v>
      </c>
      <c r="C42" s="3" t="s">
        <v>14</v>
      </c>
      <c r="D42" s="4">
        <v>16</v>
      </c>
      <c r="E42" s="4">
        <v>46</v>
      </c>
      <c r="F42" s="4">
        <v>33</v>
      </c>
      <c r="G42" s="4">
        <v>54</v>
      </c>
      <c r="H42" s="4">
        <v>58</v>
      </c>
      <c r="I42" s="5">
        <f t="shared" si="2"/>
        <v>207</v>
      </c>
      <c r="J42" s="5">
        <v>500</v>
      </c>
      <c r="K42" s="6">
        <f t="shared" si="0"/>
        <v>0.41399999999999998</v>
      </c>
      <c r="L42" s="7">
        <f t="shared" si="1"/>
        <v>0.58600000000000008</v>
      </c>
    </row>
    <row r="43" spans="1:12" x14ac:dyDescent="0.3">
      <c r="A43" s="2" t="s">
        <v>102</v>
      </c>
      <c r="B43" s="3" t="s">
        <v>103</v>
      </c>
      <c r="C43" s="3" t="s">
        <v>17</v>
      </c>
      <c r="D43" s="4">
        <v>47</v>
      </c>
      <c r="E43" s="4">
        <v>97</v>
      </c>
      <c r="F43" s="4">
        <v>74</v>
      </c>
      <c r="G43" s="4">
        <v>97</v>
      </c>
      <c r="H43" s="4">
        <v>56</v>
      </c>
      <c r="I43" s="5">
        <f t="shared" si="2"/>
        <v>371</v>
      </c>
      <c r="J43" s="5">
        <v>500</v>
      </c>
      <c r="K43" s="6">
        <f t="shared" si="0"/>
        <v>0.74199999999999999</v>
      </c>
      <c r="L43" s="7">
        <f t="shared" si="1"/>
        <v>0.25800000000000001</v>
      </c>
    </row>
    <row r="44" spans="1:12" x14ac:dyDescent="0.3">
      <c r="A44" s="2" t="s">
        <v>104</v>
      </c>
      <c r="B44" s="3" t="s">
        <v>105</v>
      </c>
      <c r="C44" s="3" t="s">
        <v>20</v>
      </c>
      <c r="D44" s="4">
        <v>86</v>
      </c>
      <c r="E44" s="4">
        <v>22</v>
      </c>
      <c r="F44" s="4">
        <v>10</v>
      </c>
      <c r="G44" s="4">
        <v>60</v>
      </c>
      <c r="H44" s="4">
        <v>28</v>
      </c>
      <c r="I44" s="5">
        <f t="shared" si="2"/>
        <v>206</v>
      </c>
      <c r="J44" s="5">
        <v>500</v>
      </c>
      <c r="K44" s="6">
        <f t="shared" si="0"/>
        <v>0.41199999999999998</v>
      </c>
      <c r="L44" s="7">
        <f t="shared" si="1"/>
        <v>0.58800000000000008</v>
      </c>
    </row>
    <row r="45" spans="1:12" x14ac:dyDescent="0.3">
      <c r="A45" s="2" t="s">
        <v>106</v>
      </c>
      <c r="B45" s="3" t="s">
        <v>107</v>
      </c>
      <c r="C45" s="3" t="s">
        <v>23</v>
      </c>
      <c r="D45" s="4">
        <v>74</v>
      </c>
      <c r="E45" s="4">
        <v>17</v>
      </c>
      <c r="F45" s="4">
        <v>45</v>
      </c>
      <c r="G45" s="4">
        <v>64</v>
      </c>
      <c r="H45" s="4">
        <v>13</v>
      </c>
      <c r="I45" s="5">
        <f t="shared" si="2"/>
        <v>213</v>
      </c>
      <c r="J45" s="5">
        <v>500</v>
      </c>
      <c r="K45" s="6">
        <f t="shared" si="0"/>
        <v>0.42599999999999999</v>
      </c>
      <c r="L45" s="7">
        <f t="shared" si="1"/>
        <v>0.57400000000000007</v>
      </c>
    </row>
    <row r="46" spans="1:12" x14ac:dyDescent="0.3">
      <c r="A46" s="2" t="s">
        <v>108</v>
      </c>
      <c r="B46" s="3" t="s">
        <v>109</v>
      </c>
      <c r="C46" s="3" t="s">
        <v>26</v>
      </c>
      <c r="D46" s="4">
        <v>80</v>
      </c>
      <c r="E46" s="4">
        <v>51</v>
      </c>
      <c r="F46" s="4">
        <v>15</v>
      </c>
      <c r="G46" s="4">
        <v>97</v>
      </c>
      <c r="H46" s="4">
        <v>42</v>
      </c>
      <c r="I46" s="5">
        <f t="shared" si="2"/>
        <v>285</v>
      </c>
      <c r="J46" s="5">
        <v>500</v>
      </c>
      <c r="K46" s="6">
        <f t="shared" si="0"/>
        <v>0.56999999999999995</v>
      </c>
      <c r="L46" s="7">
        <f t="shared" si="1"/>
        <v>0.43000000000000005</v>
      </c>
    </row>
    <row r="47" spans="1:12" x14ac:dyDescent="0.3">
      <c r="A47" s="2" t="s">
        <v>110</v>
      </c>
      <c r="B47" s="3" t="s">
        <v>111</v>
      </c>
      <c r="C47" s="3" t="s">
        <v>29</v>
      </c>
      <c r="D47" s="4">
        <v>49</v>
      </c>
      <c r="E47" s="4">
        <v>82</v>
      </c>
      <c r="F47" s="4">
        <v>95</v>
      </c>
      <c r="G47" s="4">
        <v>46</v>
      </c>
      <c r="H47" s="4">
        <v>78</v>
      </c>
      <c r="I47" s="5">
        <f t="shared" si="2"/>
        <v>350</v>
      </c>
      <c r="J47" s="5">
        <v>500</v>
      </c>
      <c r="K47" s="6">
        <f t="shared" si="0"/>
        <v>0.7</v>
      </c>
      <c r="L47" s="7">
        <f t="shared" si="1"/>
        <v>0.30000000000000004</v>
      </c>
    </row>
    <row r="48" spans="1:12" x14ac:dyDescent="0.3">
      <c r="A48" s="2" t="s">
        <v>112</v>
      </c>
      <c r="B48" s="3" t="s">
        <v>113</v>
      </c>
      <c r="C48" s="3" t="s">
        <v>32</v>
      </c>
      <c r="D48" s="4">
        <v>17</v>
      </c>
      <c r="E48" s="4">
        <v>88</v>
      </c>
      <c r="F48" s="4">
        <v>12</v>
      </c>
      <c r="G48" s="4">
        <v>54</v>
      </c>
      <c r="H48" s="4">
        <v>21</v>
      </c>
      <c r="I48" s="5">
        <f t="shared" si="2"/>
        <v>192</v>
      </c>
      <c r="J48" s="5">
        <v>500</v>
      </c>
      <c r="K48" s="6">
        <f t="shared" si="0"/>
        <v>0.38400000000000001</v>
      </c>
      <c r="L48" s="7">
        <f t="shared" si="1"/>
        <v>0.61599999999999999</v>
      </c>
    </row>
    <row r="49" spans="1:12" x14ac:dyDescent="0.3">
      <c r="A49" s="2" t="s">
        <v>114</v>
      </c>
      <c r="B49" s="3" t="s">
        <v>115</v>
      </c>
      <c r="C49" s="3" t="s">
        <v>35</v>
      </c>
      <c r="D49" s="4">
        <v>74</v>
      </c>
      <c r="E49" s="4">
        <v>16</v>
      </c>
      <c r="F49" s="4">
        <v>74</v>
      </c>
      <c r="G49" s="4">
        <v>36</v>
      </c>
      <c r="H49" s="4">
        <v>33</v>
      </c>
      <c r="I49" s="5">
        <f t="shared" si="2"/>
        <v>233</v>
      </c>
      <c r="J49" s="5">
        <v>500</v>
      </c>
      <c r="K49" s="6">
        <f t="shared" si="0"/>
        <v>0.46600000000000003</v>
      </c>
      <c r="L49" s="7">
        <f t="shared" si="1"/>
        <v>0.53400000000000003</v>
      </c>
    </row>
    <row r="50" spans="1:12" x14ac:dyDescent="0.3">
      <c r="A50" s="2" t="s">
        <v>116</v>
      </c>
      <c r="B50" s="3" t="s">
        <v>117</v>
      </c>
      <c r="C50" s="3" t="s">
        <v>14</v>
      </c>
      <c r="D50" s="4">
        <v>73</v>
      </c>
      <c r="E50" s="4">
        <v>72</v>
      </c>
      <c r="F50" s="4">
        <v>38</v>
      </c>
      <c r="G50" s="4">
        <v>19</v>
      </c>
      <c r="H50" s="4">
        <v>90</v>
      </c>
      <c r="I50" s="5">
        <f t="shared" si="2"/>
        <v>292</v>
      </c>
      <c r="J50" s="5">
        <v>500</v>
      </c>
      <c r="K50" s="6">
        <f t="shared" si="0"/>
        <v>0.58399999999999996</v>
      </c>
      <c r="L50" s="7">
        <f t="shared" si="1"/>
        <v>0.41600000000000004</v>
      </c>
    </row>
    <row r="51" spans="1:12" x14ac:dyDescent="0.3">
      <c r="A51" s="2" t="s">
        <v>118</v>
      </c>
      <c r="B51" s="3" t="s">
        <v>119</v>
      </c>
      <c r="C51" s="3" t="s">
        <v>17</v>
      </c>
      <c r="D51" s="4">
        <v>17</v>
      </c>
      <c r="E51" s="4">
        <v>84</v>
      </c>
      <c r="F51" s="4">
        <v>90</v>
      </c>
      <c r="G51" s="4">
        <v>77</v>
      </c>
      <c r="H51" s="4">
        <v>72</v>
      </c>
      <c r="I51" s="5">
        <f t="shared" si="2"/>
        <v>340</v>
      </c>
      <c r="J51" s="5">
        <v>500</v>
      </c>
      <c r="K51" s="6">
        <f t="shared" si="0"/>
        <v>0.68</v>
      </c>
      <c r="L51" s="7">
        <f t="shared" si="1"/>
        <v>0.31999999999999995</v>
      </c>
    </row>
    <row r="52" spans="1:12" x14ac:dyDescent="0.3">
      <c r="A52" s="2" t="s">
        <v>120</v>
      </c>
      <c r="B52" s="3" t="s">
        <v>121</v>
      </c>
      <c r="C52" s="3" t="s">
        <v>20</v>
      </c>
      <c r="D52" s="4">
        <v>52</v>
      </c>
      <c r="E52" s="4">
        <v>36</v>
      </c>
      <c r="F52" s="4">
        <v>84</v>
      </c>
      <c r="G52" s="4">
        <v>41</v>
      </c>
      <c r="H52" s="4">
        <v>57</v>
      </c>
      <c r="I52" s="5">
        <f t="shared" si="2"/>
        <v>270</v>
      </c>
      <c r="J52" s="5">
        <v>500</v>
      </c>
      <c r="K52" s="6">
        <f t="shared" si="0"/>
        <v>0.54</v>
      </c>
      <c r="L52" s="7">
        <f t="shared" si="1"/>
        <v>0.45999999999999996</v>
      </c>
    </row>
    <row r="53" spans="1:12" x14ac:dyDescent="0.3">
      <c r="A53" s="2" t="s">
        <v>122</v>
      </c>
      <c r="B53" s="3" t="s">
        <v>123</v>
      </c>
      <c r="C53" s="3" t="s">
        <v>23</v>
      </c>
      <c r="D53" s="4">
        <v>65</v>
      </c>
      <c r="E53" s="4">
        <v>67</v>
      </c>
      <c r="F53" s="4">
        <v>72</v>
      </c>
      <c r="G53" s="4">
        <v>22</v>
      </c>
      <c r="H53" s="4">
        <v>23</v>
      </c>
      <c r="I53" s="5">
        <f t="shared" si="2"/>
        <v>249</v>
      </c>
      <c r="J53" s="5">
        <v>500</v>
      </c>
      <c r="K53" s="6">
        <f t="shared" si="0"/>
        <v>0.498</v>
      </c>
      <c r="L53" s="7">
        <f t="shared" si="1"/>
        <v>0.502</v>
      </c>
    </row>
    <row r="54" spans="1:12" x14ac:dyDescent="0.3">
      <c r="A54" s="2" t="s">
        <v>124</v>
      </c>
      <c r="B54" s="3" t="s">
        <v>125</v>
      </c>
      <c r="C54" s="3" t="s">
        <v>26</v>
      </c>
      <c r="D54" s="4">
        <v>88</v>
      </c>
      <c r="E54" s="4">
        <v>39</v>
      </c>
      <c r="F54" s="4">
        <v>25</v>
      </c>
      <c r="G54" s="4">
        <v>99</v>
      </c>
      <c r="H54" s="4">
        <v>71</v>
      </c>
      <c r="I54" s="5">
        <f t="shared" si="2"/>
        <v>322</v>
      </c>
      <c r="J54" s="5">
        <v>500</v>
      </c>
      <c r="K54" s="6">
        <f t="shared" si="0"/>
        <v>0.64400000000000002</v>
      </c>
      <c r="L54" s="7">
        <f t="shared" si="1"/>
        <v>0.35599999999999998</v>
      </c>
    </row>
    <row r="55" spans="1:12" x14ac:dyDescent="0.3">
      <c r="A55" s="2" t="s">
        <v>126</v>
      </c>
      <c r="B55" s="3" t="s">
        <v>127</v>
      </c>
      <c r="C55" s="3" t="s">
        <v>29</v>
      </c>
      <c r="D55" s="4">
        <v>23</v>
      </c>
      <c r="E55" s="4">
        <v>14</v>
      </c>
      <c r="F55" s="4">
        <v>15</v>
      </c>
      <c r="G55" s="4">
        <v>58</v>
      </c>
      <c r="H55" s="4">
        <v>79</v>
      </c>
      <c r="I55" s="5">
        <f t="shared" si="2"/>
        <v>189</v>
      </c>
      <c r="J55" s="5">
        <v>500</v>
      </c>
      <c r="K55" s="6">
        <f t="shared" si="0"/>
        <v>0.378</v>
      </c>
      <c r="L55" s="7">
        <f t="shared" si="1"/>
        <v>0.622</v>
      </c>
    </row>
    <row r="56" spans="1:12" x14ac:dyDescent="0.3">
      <c r="A56" s="2" t="s">
        <v>128</v>
      </c>
      <c r="B56" s="3" t="s">
        <v>129</v>
      </c>
      <c r="C56" s="3" t="s">
        <v>32</v>
      </c>
      <c r="D56" s="4">
        <v>15</v>
      </c>
      <c r="E56" s="4">
        <v>67</v>
      </c>
      <c r="F56" s="4">
        <v>48</v>
      </c>
      <c r="G56" s="4">
        <v>95</v>
      </c>
      <c r="H56" s="4">
        <v>35</v>
      </c>
      <c r="I56" s="5">
        <f t="shared" si="2"/>
        <v>260</v>
      </c>
      <c r="J56" s="5">
        <v>500</v>
      </c>
      <c r="K56" s="6">
        <f t="shared" si="0"/>
        <v>0.52</v>
      </c>
      <c r="L56" s="7">
        <f t="shared" si="1"/>
        <v>0.48</v>
      </c>
    </row>
    <row r="57" spans="1:12" x14ac:dyDescent="0.3">
      <c r="A57" s="2" t="s">
        <v>130</v>
      </c>
      <c r="B57" s="3" t="s">
        <v>131</v>
      </c>
      <c r="C57" s="3" t="s">
        <v>35</v>
      </c>
      <c r="D57" s="4">
        <v>18</v>
      </c>
      <c r="E57" s="4">
        <v>35</v>
      </c>
      <c r="F57" s="4">
        <v>82</v>
      </c>
      <c r="G57" s="4">
        <v>31</v>
      </c>
      <c r="H57" s="4">
        <v>26</v>
      </c>
      <c r="I57" s="5">
        <f t="shared" si="2"/>
        <v>192</v>
      </c>
      <c r="J57" s="5">
        <v>500</v>
      </c>
      <c r="K57" s="6">
        <f t="shared" si="0"/>
        <v>0.38400000000000001</v>
      </c>
      <c r="L57" s="7">
        <f t="shared" si="1"/>
        <v>0.61599999999999999</v>
      </c>
    </row>
    <row r="58" spans="1:12" x14ac:dyDescent="0.3">
      <c r="A58" s="2" t="s">
        <v>132</v>
      </c>
      <c r="B58" s="3" t="s">
        <v>133</v>
      </c>
      <c r="C58" s="3" t="s">
        <v>14</v>
      </c>
      <c r="D58" s="4">
        <v>57</v>
      </c>
      <c r="E58" s="4">
        <v>60</v>
      </c>
      <c r="F58" s="4">
        <v>42</v>
      </c>
      <c r="G58" s="4">
        <v>81</v>
      </c>
      <c r="H58" s="4">
        <v>44</v>
      </c>
      <c r="I58" s="5">
        <f t="shared" si="2"/>
        <v>284</v>
      </c>
      <c r="J58" s="5">
        <v>500</v>
      </c>
      <c r="K58" s="6">
        <f t="shared" si="0"/>
        <v>0.56799999999999995</v>
      </c>
      <c r="L58" s="7">
        <f t="shared" si="1"/>
        <v>0.43200000000000005</v>
      </c>
    </row>
    <row r="59" spans="1:12" x14ac:dyDescent="0.3">
      <c r="A59" s="2" t="s">
        <v>134</v>
      </c>
      <c r="B59" s="3" t="s">
        <v>135</v>
      </c>
      <c r="C59" s="3" t="s">
        <v>17</v>
      </c>
      <c r="D59" s="4">
        <v>34</v>
      </c>
      <c r="E59" s="4">
        <v>97</v>
      </c>
      <c r="F59" s="4">
        <v>66</v>
      </c>
      <c r="G59" s="4">
        <v>45</v>
      </c>
      <c r="H59" s="4">
        <v>50</v>
      </c>
      <c r="I59" s="5">
        <f t="shared" si="2"/>
        <v>292</v>
      </c>
      <c r="J59" s="5">
        <v>500</v>
      </c>
      <c r="K59" s="6">
        <f t="shared" si="0"/>
        <v>0.58399999999999996</v>
      </c>
      <c r="L59" s="7">
        <f t="shared" si="1"/>
        <v>0.41600000000000004</v>
      </c>
    </row>
    <row r="60" spans="1:12" x14ac:dyDescent="0.3">
      <c r="A60" s="2" t="s">
        <v>136</v>
      </c>
      <c r="B60" s="3" t="s">
        <v>137</v>
      </c>
      <c r="C60" s="3" t="s">
        <v>20</v>
      </c>
      <c r="D60" s="4">
        <v>83</v>
      </c>
      <c r="E60" s="4">
        <v>12</v>
      </c>
      <c r="F60" s="4">
        <v>70</v>
      </c>
      <c r="G60" s="4">
        <v>83</v>
      </c>
      <c r="H60" s="4">
        <v>52</v>
      </c>
      <c r="I60" s="5">
        <f t="shared" si="2"/>
        <v>300</v>
      </c>
      <c r="J60" s="5">
        <v>500</v>
      </c>
      <c r="K60" s="6">
        <f t="shared" si="0"/>
        <v>0.6</v>
      </c>
      <c r="L60" s="7">
        <f t="shared" si="1"/>
        <v>0.4</v>
      </c>
    </row>
    <row r="61" spans="1:12" x14ac:dyDescent="0.3">
      <c r="A61" s="2" t="s">
        <v>138</v>
      </c>
      <c r="B61" s="3" t="s">
        <v>139</v>
      </c>
      <c r="C61" s="3" t="s">
        <v>23</v>
      </c>
      <c r="D61" s="4">
        <v>76</v>
      </c>
      <c r="E61" s="4">
        <v>55</v>
      </c>
      <c r="F61" s="4">
        <v>56</v>
      </c>
      <c r="G61" s="4">
        <v>16</v>
      </c>
      <c r="H61" s="4">
        <v>61</v>
      </c>
      <c r="I61" s="5">
        <f t="shared" si="2"/>
        <v>264</v>
      </c>
      <c r="J61" s="5">
        <v>500</v>
      </c>
      <c r="K61" s="6">
        <f t="shared" si="0"/>
        <v>0.52800000000000002</v>
      </c>
      <c r="L61" s="7">
        <f t="shared" si="1"/>
        <v>0.47199999999999998</v>
      </c>
    </row>
    <row r="62" spans="1:12" x14ac:dyDescent="0.3">
      <c r="A62" s="2" t="s">
        <v>140</v>
      </c>
      <c r="B62" s="3" t="s">
        <v>141</v>
      </c>
      <c r="C62" s="3" t="s">
        <v>26</v>
      </c>
      <c r="D62" s="4">
        <v>40</v>
      </c>
      <c r="E62" s="4">
        <v>70</v>
      </c>
      <c r="F62" s="4">
        <v>19</v>
      </c>
      <c r="G62" s="4">
        <v>36</v>
      </c>
      <c r="H62" s="4">
        <v>52</v>
      </c>
      <c r="I62" s="5">
        <f t="shared" si="2"/>
        <v>217</v>
      </c>
      <c r="J62" s="5">
        <v>500</v>
      </c>
      <c r="K62" s="6">
        <f t="shared" si="0"/>
        <v>0.434</v>
      </c>
      <c r="L62" s="7">
        <f t="shared" si="1"/>
        <v>0.56600000000000006</v>
      </c>
    </row>
    <row r="63" spans="1:12" x14ac:dyDescent="0.3">
      <c r="A63" s="2" t="s">
        <v>142</v>
      </c>
      <c r="B63" s="3" t="s">
        <v>143</v>
      </c>
      <c r="C63" s="3" t="s">
        <v>29</v>
      </c>
      <c r="D63" s="4">
        <v>44</v>
      </c>
      <c r="E63" s="4">
        <v>60</v>
      </c>
      <c r="F63" s="4">
        <v>71</v>
      </c>
      <c r="G63" s="4">
        <v>34</v>
      </c>
      <c r="H63" s="4">
        <v>37</v>
      </c>
      <c r="I63" s="5">
        <f t="shared" si="2"/>
        <v>246</v>
      </c>
      <c r="J63" s="5">
        <v>500</v>
      </c>
      <c r="K63" s="6">
        <f t="shared" si="0"/>
        <v>0.49199999999999999</v>
      </c>
      <c r="L63" s="7">
        <f t="shared" si="1"/>
        <v>0.50800000000000001</v>
      </c>
    </row>
    <row r="64" spans="1:12" x14ac:dyDescent="0.3">
      <c r="A64" s="2" t="s">
        <v>144</v>
      </c>
      <c r="B64" s="3" t="s">
        <v>145</v>
      </c>
      <c r="C64" s="3" t="s">
        <v>32</v>
      </c>
      <c r="D64" s="4">
        <v>43</v>
      </c>
      <c r="E64" s="4">
        <v>78</v>
      </c>
      <c r="F64" s="4">
        <v>15</v>
      </c>
      <c r="G64" s="4">
        <v>98</v>
      </c>
      <c r="H64" s="4">
        <v>33</v>
      </c>
      <c r="I64" s="5">
        <f t="shared" si="2"/>
        <v>267</v>
      </c>
      <c r="J64" s="5">
        <v>500</v>
      </c>
      <c r="K64" s="6">
        <f t="shared" si="0"/>
        <v>0.53400000000000003</v>
      </c>
      <c r="L64" s="7">
        <f t="shared" si="1"/>
        <v>0.46599999999999997</v>
      </c>
    </row>
    <row r="65" spans="1:12" x14ac:dyDescent="0.3">
      <c r="A65" s="2" t="s">
        <v>146</v>
      </c>
      <c r="B65" s="3" t="s">
        <v>147</v>
      </c>
      <c r="C65" s="3" t="s">
        <v>35</v>
      </c>
      <c r="D65" s="4">
        <v>75</v>
      </c>
      <c r="E65" s="4">
        <v>75</v>
      </c>
      <c r="F65" s="4">
        <v>89</v>
      </c>
      <c r="G65" s="4">
        <v>97</v>
      </c>
      <c r="H65" s="4">
        <v>49</v>
      </c>
      <c r="I65" s="5">
        <f t="shared" si="2"/>
        <v>385</v>
      </c>
      <c r="J65" s="5">
        <v>500</v>
      </c>
      <c r="K65" s="6">
        <f t="shared" si="0"/>
        <v>0.77</v>
      </c>
      <c r="L65" s="7">
        <f t="shared" si="1"/>
        <v>0.22999999999999998</v>
      </c>
    </row>
    <row r="66" spans="1:12" x14ac:dyDescent="0.3">
      <c r="A66" s="2" t="s">
        <v>148</v>
      </c>
      <c r="B66" s="3" t="s">
        <v>149</v>
      </c>
      <c r="C66" s="3" t="s">
        <v>14</v>
      </c>
      <c r="D66" s="4">
        <v>74</v>
      </c>
      <c r="E66" s="4">
        <v>51</v>
      </c>
      <c r="F66" s="4">
        <v>97</v>
      </c>
      <c r="G66" s="4">
        <v>73</v>
      </c>
      <c r="H66" s="4">
        <v>33</v>
      </c>
      <c r="I66" s="5">
        <f t="shared" si="2"/>
        <v>328</v>
      </c>
      <c r="J66" s="5">
        <v>500</v>
      </c>
      <c r="K66" s="6">
        <f t="shared" si="0"/>
        <v>0.65600000000000003</v>
      </c>
      <c r="L66" s="7">
        <f t="shared" si="1"/>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mergeCells count="15">
    <mergeCell ref="O22:W22"/>
    <mergeCell ref="O19:W19"/>
    <mergeCell ref="O18:W18"/>
    <mergeCell ref="O20:W20"/>
    <mergeCell ref="O21:W21"/>
    <mergeCell ref="O11:R11"/>
    <mergeCell ref="O12:R12"/>
    <mergeCell ref="O13:R13"/>
    <mergeCell ref="O14:R14"/>
    <mergeCell ref="O15:R15"/>
    <mergeCell ref="O23:W23"/>
    <mergeCell ref="O24:V24"/>
    <mergeCell ref="O25:W25"/>
    <mergeCell ref="O26:V26"/>
    <mergeCell ref="O27:W2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Mayank Kapadane</dc:creator>
  <cp:lastModifiedBy>Mayank Kapadane</cp:lastModifiedBy>
  <cp:lastPrinted>2026-06-09T15:54:42Z</cp:lastPrinted>
  <dcterms:created xsi:type="dcterms:W3CDTF">2015-06-05T18:17:20Z</dcterms:created>
  <dcterms:modified xsi:type="dcterms:W3CDTF">2026-06-11T15:57:31Z</dcterms:modified>
</cp:coreProperties>
</file>